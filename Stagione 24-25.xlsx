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ccardo\OneDrive\Banda Bassotti\Stagione 24-25\"/>
    </mc:Choice>
  </mc:AlternateContent>
  <xr:revisionPtr revIDLastSave="0" documentId="13_ncr:1_{936C2DD3-F70E-49A9-BE45-ED3638978AA4}" xr6:coauthVersionLast="47" xr6:coauthVersionMax="47" xr10:uidLastSave="{00000000-0000-0000-0000-000000000000}"/>
  <bookViews>
    <workbookView xWindow="-110" yWindow="-110" windowWidth="19420" windowHeight="11020" activeTab="2" xr2:uid="{398DE2D5-1CE7-4835-BAA7-93C750483A27}"/>
  </bookViews>
  <sheets>
    <sheet name="Dati" sheetId="8" r:id="rId1"/>
    <sheet name="Fase1" sheetId="7" r:id="rId2"/>
    <sheet name="Fase2" sheetId="4" r:id="rId3"/>
    <sheet name="Tesserati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 a="1"/>
  <c r="K2" i="6" s="1"/>
  <c r="K3" i="6" a="1"/>
  <c r="K3" i="6" s="1"/>
  <c r="K4" i="6" a="1"/>
  <c r="K4" i="6" s="1"/>
  <c r="K5" i="6" a="1"/>
  <c r="K5" i="6" s="1"/>
  <c r="K6" i="6" a="1"/>
  <c r="K6" i="6" s="1"/>
  <c r="K7" i="6" a="1"/>
  <c r="K7" i="6" s="1"/>
  <c r="K8" i="6" a="1"/>
  <c r="K8" i="6" s="1"/>
  <c r="K9" i="6" a="1"/>
  <c r="K9" i="6"/>
  <c r="K10" i="6" a="1"/>
  <c r="K10" i="6" s="1"/>
  <c r="K11" i="6" a="1"/>
  <c r="K11" i="6" s="1"/>
  <c r="K12" i="6" a="1"/>
  <c r="K12" i="6" s="1"/>
  <c r="K13" i="6" a="1"/>
  <c r="K13" i="6"/>
  <c r="K14" i="6" a="1"/>
  <c r="K14" i="6" s="1"/>
  <c r="K15" i="6" a="1"/>
  <c r="K15" i="6" s="1"/>
  <c r="K16" i="6" a="1"/>
  <c r="K16" i="6" s="1"/>
  <c r="K17" i="6" a="1"/>
  <c r="K17" i="6"/>
  <c r="K18" i="6" a="1"/>
  <c r="K18" i="6" s="1"/>
  <c r="K19" i="6" a="1"/>
  <c r="K19" i="6" s="1"/>
  <c r="K20" i="6" a="1"/>
  <c r="K20" i="6" s="1"/>
  <c r="K21" i="6" a="1"/>
  <c r="K21" i="6" s="1"/>
  <c r="K22" i="6" a="1"/>
  <c r="K22" i="6" s="1"/>
  <c r="J2" i="6" a="1"/>
  <c r="J2" i="6" s="1"/>
  <c r="J3" i="6" a="1"/>
  <c r="J3" i="6" s="1"/>
  <c r="J4" i="6" a="1"/>
  <c r="J4" i="6" s="1"/>
  <c r="J5" i="6" a="1"/>
  <c r="J5" i="6"/>
  <c r="J6" i="6" a="1"/>
  <c r="J6" i="6" s="1"/>
  <c r="J7" i="6" a="1"/>
  <c r="J7" i="6"/>
  <c r="J8" i="6" a="1"/>
  <c r="J8" i="6" s="1"/>
  <c r="J9" i="6" a="1"/>
  <c r="J9" i="6" s="1"/>
  <c r="J10" i="6" a="1"/>
  <c r="J10" i="6" s="1"/>
  <c r="J11" i="6" a="1"/>
  <c r="J11" i="6" s="1"/>
  <c r="J12" i="6" a="1"/>
  <c r="J12" i="6" s="1"/>
  <c r="J13" i="6" a="1"/>
  <c r="J13" i="6" s="1"/>
  <c r="J14" i="6" a="1"/>
  <c r="J14" i="6" s="1"/>
  <c r="J15" i="6" a="1"/>
  <c r="J15" i="6"/>
  <c r="J16" i="6" a="1"/>
  <c r="J16" i="6" s="1"/>
  <c r="J17" i="6" a="1"/>
  <c r="J17" i="6" s="1"/>
  <c r="J18" i="6" a="1"/>
  <c r="J18" i="6" s="1"/>
  <c r="J19" i="6" a="1"/>
  <c r="J19" i="6" s="1"/>
  <c r="J20" i="6" a="1"/>
  <c r="J20" i="6" s="1"/>
  <c r="J21" i="6" a="1"/>
  <c r="J21" i="6"/>
  <c r="J22" i="6" a="1"/>
  <c r="J22" i="6" s="1"/>
  <c r="I2" i="6" a="1"/>
  <c r="I2" i="6"/>
  <c r="I3" i="6" a="1"/>
  <c r="I3" i="6" s="1"/>
  <c r="I4" i="6" a="1"/>
  <c r="I4" i="6" s="1"/>
  <c r="I5" i="6" a="1"/>
  <c r="I5" i="6" s="1"/>
  <c r="I6" i="6" a="1"/>
  <c r="I6" i="6"/>
  <c r="I7" i="6" a="1"/>
  <c r="I7" i="6" s="1"/>
  <c r="I8" i="6" a="1"/>
  <c r="I8" i="6" s="1"/>
  <c r="I9" i="6" a="1"/>
  <c r="I9" i="6"/>
  <c r="I10" i="6" a="1"/>
  <c r="I10" i="6" s="1"/>
  <c r="I11" i="6" a="1"/>
  <c r="I11" i="6"/>
  <c r="I12" i="6" a="1"/>
  <c r="I12" i="6" s="1"/>
  <c r="I13" i="6" a="1"/>
  <c r="I13" i="6" s="1"/>
  <c r="I14" i="6" a="1"/>
  <c r="I14" i="6" s="1"/>
  <c r="I15" i="6" a="1"/>
  <c r="I15" i="6" s="1"/>
  <c r="I16" i="6" a="1"/>
  <c r="I16" i="6" s="1"/>
  <c r="I17" i="6" a="1"/>
  <c r="I17" i="6"/>
  <c r="I18" i="6" a="1"/>
  <c r="I18" i="6" s="1"/>
  <c r="I19" i="6" a="1"/>
  <c r="I19" i="6" s="1"/>
  <c r="I20" i="6" a="1"/>
  <c r="I20" i="6" s="1"/>
  <c r="I21" i="6" a="1"/>
  <c r="I21" i="6" s="1"/>
  <c r="I22" i="6" a="1"/>
  <c r="I22" i="6" s="1"/>
  <c r="H2" i="6" a="1"/>
  <c r="H2" i="6" s="1"/>
  <c r="H3" i="6" a="1"/>
  <c r="H3" i="6" s="1"/>
  <c r="H4" i="6" a="1"/>
  <c r="H4" i="6" s="1"/>
  <c r="H5" i="6" a="1"/>
  <c r="H5" i="6" s="1"/>
  <c r="H6" i="6" a="1"/>
  <c r="H6" i="6" s="1"/>
  <c r="H7" i="6" a="1"/>
  <c r="H7" i="6"/>
  <c r="H8" i="6" a="1"/>
  <c r="H8" i="6" s="1"/>
  <c r="H9" i="6" a="1"/>
  <c r="H9" i="6"/>
  <c r="H10" i="6" a="1"/>
  <c r="H10" i="6" s="1"/>
  <c r="H11" i="6" a="1"/>
  <c r="H11" i="6" s="1"/>
  <c r="H12" i="6" a="1"/>
  <c r="H12" i="6" s="1"/>
  <c r="H13" i="6" a="1"/>
  <c r="H13" i="6" s="1"/>
  <c r="H14" i="6" a="1"/>
  <c r="H14" i="6" s="1"/>
  <c r="H15" i="6" a="1"/>
  <c r="H15" i="6" s="1"/>
  <c r="H16" i="6" a="1"/>
  <c r="H16" i="6" s="1"/>
  <c r="H17" i="6" a="1"/>
  <c r="H17" i="6"/>
  <c r="H18" i="6" a="1"/>
  <c r="H18" i="6" s="1"/>
  <c r="H19" i="6" a="1"/>
  <c r="H19" i="6" s="1"/>
  <c r="H20" i="6" a="1"/>
  <c r="H20" i="6" s="1"/>
  <c r="H21" i="6" a="1"/>
  <c r="H21" i="6" s="1"/>
  <c r="H22" i="6" a="1"/>
  <c r="H22" i="6" s="1"/>
  <c r="G2" i="6" a="1"/>
  <c r="G2" i="6" s="1"/>
  <c r="G3" i="6" a="1"/>
  <c r="G3" i="6" s="1"/>
  <c r="G4" i="6" a="1"/>
  <c r="G4" i="6" s="1"/>
  <c r="G5" i="6" a="1"/>
  <c r="G5" i="6" s="1"/>
  <c r="G6" i="6" a="1"/>
  <c r="G6" i="6" s="1"/>
  <c r="G7" i="6" a="1"/>
  <c r="G7" i="6" s="1"/>
  <c r="G8" i="6" a="1"/>
  <c r="G8" i="6" s="1"/>
  <c r="G9" i="6" a="1"/>
  <c r="G9" i="6" s="1"/>
  <c r="G10" i="6" a="1"/>
  <c r="G10" i="6" s="1"/>
  <c r="G11" i="6" a="1"/>
  <c r="G11" i="6" s="1"/>
  <c r="G12" i="6" a="1"/>
  <c r="G12" i="6" s="1"/>
  <c r="G13" i="6" a="1"/>
  <c r="G13" i="6" s="1"/>
  <c r="G14" i="6" a="1"/>
  <c r="G14" i="6" s="1"/>
  <c r="G15" i="6" a="1"/>
  <c r="G15" i="6" s="1"/>
  <c r="G16" i="6" a="1"/>
  <c r="G16" i="6" s="1"/>
  <c r="G17" i="6" a="1"/>
  <c r="G17" i="6" s="1"/>
  <c r="G18" i="6" a="1"/>
  <c r="G18" i="6" s="1"/>
  <c r="G19" i="6" a="1"/>
  <c r="G19" i="6" s="1"/>
  <c r="G20" i="6" a="1"/>
  <c r="G20" i="6" s="1"/>
  <c r="G21" i="6" a="1"/>
  <c r="G21" i="6" s="1"/>
  <c r="G22" i="6" a="1"/>
  <c r="G22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<sst xmlns="http://schemas.openxmlformats.org/spreadsheetml/2006/main" count="383" uniqueCount="136">
  <si>
    <t>GIONATA</t>
  </si>
  <si>
    <t>Presenze</t>
  </si>
  <si>
    <t>Goals</t>
  </si>
  <si>
    <t>Assist</t>
  </si>
  <si>
    <t>Gialli</t>
  </si>
  <si>
    <t>Rossi</t>
  </si>
  <si>
    <t>Meniscus</t>
  </si>
  <si>
    <t>POR</t>
  </si>
  <si>
    <t>Bøzzøliño</t>
  </si>
  <si>
    <t>Porcigno</t>
  </si>
  <si>
    <t>DC</t>
  </si>
  <si>
    <t>Massello</t>
  </si>
  <si>
    <t>Gatti</t>
  </si>
  <si>
    <t>Cuginøvič</t>
  </si>
  <si>
    <t>Cuginøvsky</t>
  </si>
  <si>
    <t>Iezzi</t>
  </si>
  <si>
    <t>Righinho</t>
  </si>
  <si>
    <t>Pistolino</t>
  </si>
  <si>
    <t>CC</t>
  </si>
  <si>
    <t>Hanšík</t>
  </si>
  <si>
    <t>Dima</t>
  </si>
  <si>
    <t>Berna Cruz</t>
  </si>
  <si>
    <t>Ciruzz</t>
  </si>
  <si>
    <t>Pieracc</t>
  </si>
  <si>
    <t>Fiori</t>
  </si>
  <si>
    <t>Mucci</t>
  </si>
  <si>
    <t>Bin</t>
  </si>
  <si>
    <t>Dido</t>
  </si>
  <si>
    <t>Data</t>
  </si>
  <si>
    <t>Banda Bassotti</t>
  </si>
  <si>
    <t>Real Monzuno</t>
  </si>
  <si>
    <t>Atletico SFN</t>
  </si>
  <si>
    <t>Whiteline</t>
  </si>
  <si>
    <t>Bologna Blatte</t>
  </si>
  <si>
    <t>Petroniano</t>
  </si>
  <si>
    <t>DL &amp; DS</t>
  </si>
  <si>
    <t>Los Stirados</t>
  </si>
  <si>
    <t>3 Moons</t>
  </si>
  <si>
    <t>Subumani FC</t>
  </si>
  <si>
    <t>Free Pass</t>
  </si>
  <si>
    <t>Pelatinaikos</t>
  </si>
  <si>
    <t>Pinco Pallino Joe</t>
  </si>
  <si>
    <t>Arancia Meccanica</t>
  </si>
  <si>
    <t>Senza Nome</t>
  </si>
  <si>
    <t>Cognome</t>
  </si>
  <si>
    <t>Nome</t>
  </si>
  <si>
    <t>Batisti</t>
  </si>
  <si>
    <t>Leonardo</t>
  </si>
  <si>
    <t>Bernardini</t>
  </si>
  <si>
    <t>Andrea</t>
  </si>
  <si>
    <t>Simone</t>
  </si>
  <si>
    <t>Bozzoli</t>
  </si>
  <si>
    <t>Luca</t>
  </si>
  <si>
    <t>Cerutti</t>
  </si>
  <si>
    <t>Cini</t>
  </si>
  <si>
    <t>Riccardo</t>
  </si>
  <si>
    <t>Cudia</t>
  </si>
  <si>
    <t>Cugino</t>
  </si>
  <si>
    <t>Giovanni</t>
  </si>
  <si>
    <t>Mattia</t>
  </si>
  <si>
    <t>Di Donfrancesco</t>
  </si>
  <si>
    <t>Alessio</t>
  </si>
  <si>
    <t>Di Martino</t>
  </si>
  <si>
    <t>Jacopo</t>
  </si>
  <si>
    <t>Pietro Fiori</t>
  </si>
  <si>
    <t>Giacomino</t>
  </si>
  <si>
    <t>Guastini</t>
  </si>
  <si>
    <t>Gaetano Leonardo</t>
  </si>
  <si>
    <t>Pieraccini</t>
  </si>
  <si>
    <t>Righi</t>
  </si>
  <si>
    <t>Tommaso</t>
  </si>
  <si>
    <t>Tondi</t>
  </si>
  <si>
    <t>Federico</t>
  </si>
  <si>
    <t>Mister Luchè</t>
  </si>
  <si>
    <t>N° Maglia</t>
  </si>
  <si>
    <t>Nome Maglia</t>
  </si>
  <si>
    <t>Dirigenza</t>
  </si>
  <si>
    <t>Presidente</t>
  </si>
  <si>
    <t>Vicepresidente</t>
  </si>
  <si>
    <t>Consigliere</t>
  </si>
  <si>
    <t>Allenatore</t>
  </si>
  <si>
    <t>SQUADRE</t>
  </si>
  <si>
    <t>Pt</t>
  </si>
  <si>
    <t>-</t>
  </si>
  <si>
    <t>🏠</t>
  </si>
  <si>
    <t>GOL_C</t>
  </si>
  <si>
    <t>GOL_T</t>
  </si>
  <si>
    <t>✈</t>
  </si>
  <si>
    <t>1.1</t>
  </si>
  <si>
    <t>1.2</t>
  </si>
  <si>
    <t>1.3</t>
  </si>
  <si>
    <t>1.4</t>
  </si>
  <si>
    <t>1.5</t>
  </si>
  <si>
    <t>1.6</t>
  </si>
  <si>
    <t>1.7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</si>
  <si>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</si>
  <si>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</si>
  <si>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</si>
  <si>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</si>
  <si>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</si>
  <si>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</si>
  <si>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</si>
  <si>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</si>
  <si>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</si>
  <si>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</si>
  <si>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</si>
  <si>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</si>
  <si>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</si>
  <si>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</si>
  <si>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OTTAVI</t>
  </si>
  <si>
    <t>QUARTI</t>
  </si>
  <si>
    <t>SEMIFINALE</t>
  </si>
  <si>
    <t>FINALE</t>
  </si>
  <si>
    <t>RUOLO</t>
  </si>
  <si>
    <t>AL</t>
  </si>
  <si>
    <t>AT</t>
  </si>
  <si>
    <t>AT-AL</t>
  </si>
  <si>
    <t>DC-CC</t>
  </si>
  <si>
    <t>DC-POR</t>
  </si>
  <si>
    <t>0011</t>
  </si>
  <si>
    <t>0000</t>
  </si>
  <si>
    <t>1200</t>
  </si>
  <si>
    <t>0100</t>
  </si>
  <si>
    <t>2200</t>
  </si>
  <si>
    <t>2100</t>
  </si>
  <si>
    <t>0110</t>
  </si>
  <si>
    <t>0200</t>
  </si>
  <si>
    <t>0300</t>
  </si>
  <si>
    <t>0400</t>
  </si>
  <si>
    <t>0010</t>
  </si>
  <si>
    <t>1100</t>
  </si>
  <si>
    <t>1010</t>
  </si>
  <si>
    <t>1000</t>
  </si>
  <si>
    <t>DR</t>
  </si>
  <si>
    <t>Bononia FC</t>
  </si>
  <si>
    <t>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</si>
</sst>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</cellXfs>
  <cellStyles count="1">
    <cellStyle name="Normale" xfId="0" builtinId="0"/>
  </cellStyles>
  <dxfs count="47">
    <dxf>
      <font>
        <b/>
        <i val="0"/>
        <color rgb="FFFF0000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644AE6-1998-4F5B-A2C5-79031E75B2C7}" name="Dati" displayName="Dati" ref="A1:Y26" totalsRowShown="0" headerRowDxfId="46" dataDxfId="45">
  <autoFilter ref="A1:Y26" xr:uid="{35644AE6-1998-4F5B-A2C5-79031E75B2C7}"/>
  <tableColumns count="25">
    <tableColumn id="1" xr3:uid="{28B1BC69-E293-4AD7-B288-FFF957010362}" name="GIONATA" dataDxfId="44"/>
    <tableColumn id="2" xr3:uid="{2C4559FE-B8BD-4040-B3CA-59213FBEB2BF}" name="🏠"/>
    <tableColumn id="3" xr3:uid="{319F8D2E-9ADC-4F7B-A11D-48CAF8DB2246}" name="GOL_C"/>
    <tableColumn id="4" xr3:uid="{D9E7DF00-6231-42C6-AB3C-612C5767BA48}" name="GOL_T"/>
    <tableColumn id="5" xr3:uid="{4E83952D-B4FC-4EDF-8FC7-3683E981F1AF}" name="✈"/>
    <tableColumn id="6" xr3:uid="{E94629C1-ABC1-44E4-8FC0-96368B68FBCB}" name="Data" dataDxfId="43"/>
    <tableColumn id="8" xr3:uid="{9DE7EBCD-E6A1-43FA-9F12-6EFC64803506}" name="Meniscus" dataDxfId="42"/>
    <tableColumn id="9" xr3:uid="{112F3AB7-0860-4A9B-BA04-B83B4EA67C6D}" name="Berna Cruz" dataDxfId="41"/>
    <tableColumn id="10" xr3:uid="{973FC684-3362-4D76-91E8-BDD2826874D5}" name="Bin" dataDxfId="40"/>
    <tableColumn id="11" xr3:uid="{7EE979E8-DC39-46A8-AA9E-558A0616C7FE}" name="Bøzzøliño" dataDxfId="39"/>
    <tableColumn id="12" xr3:uid="{C78FC163-77DA-421D-BE54-E014BF0FC566}" name="Ciruzz" dataDxfId="38"/>
    <tableColumn id="13" xr3:uid="{A897406D-CF40-415F-B3FB-50D1F1BA7B47}" name="Porcigno" dataDxfId="37"/>
    <tableColumn id="14" xr3:uid="{9608E6B7-2335-47C8-85AC-391812676FE3}" name="Massello" dataDxfId="36"/>
    <tableColumn id="15" xr3:uid="{AD2DDC87-405D-4944-B3AE-1C249BB4C23D}" name="Gatti" dataDxfId="35"/>
    <tableColumn id="16" xr3:uid="{F57BC8AE-A12E-4E3C-BFBA-81B02A784FEE}" name="Cuginøvič" dataDxfId="34"/>
    <tableColumn id="17" xr3:uid="{05ACEF86-0573-4B32-A13E-60F380F80996}" name="Cuginøvsky" dataDxfId="33"/>
    <tableColumn id="18" xr3:uid="{9286D11B-68C0-4865-A90F-71C9504F0C86}" name="Dido" dataDxfId="32"/>
    <tableColumn id="19" xr3:uid="{3BA1011B-BF46-4180-889F-2626A482F0BC}" name="Dima" dataDxfId="31"/>
    <tableColumn id="20" xr3:uid="{665B86CF-3CA5-47FB-87E8-69B3043CC277}" name="Fiori" dataDxfId="30"/>
    <tableColumn id="21" xr3:uid="{8C1B9E3F-7492-483B-A660-528ED13C8DBE}" name="Hanšík" dataDxfId="29"/>
    <tableColumn id="22" xr3:uid="{A524A155-9E6E-4071-B1E5-CC305E37F769}" name="Iezzi" dataDxfId="28"/>
    <tableColumn id="23" xr3:uid="{C83EA4F7-ADA9-4EE8-9FC2-B0F386B97B47}" name="Mucci" dataDxfId="27"/>
    <tableColumn id="24" xr3:uid="{24CF11C8-021D-4CEE-9735-D2915C128389}" name="Pieracc" dataDxfId="26"/>
    <tableColumn id="25" xr3:uid="{67D7A1C9-2327-4ACF-A319-FCF5EED213AA}" name="Righinho" dataDxfId="25"/>
    <tableColumn id="26" xr3:uid="{DA040FA4-84FB-45E2-B40B-6A27FA30CE60}" name="Pistolino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3A0EFB9-07F9-4E49-951E-6ACC8FA7909F}" name="Fase1" displayName="Fase1" ref="A1:C9" totalsRowShown="0" headerRowDxfId="23" dataDxfId="22">
  <autoFilter ref="A1:C9" xr:uid="{13A0EFB9-07F9-4E49-951E-6ACC8FA7909F}"/>
  <sortState xmlns:xlrd2="http://schemas.microsoft.com/office/spreadsheetml/2017/richdata2" ref="A2:C9">
    <sortCondition descending="1" ref="B1:B9"/>
  </sortState>
  <tableColumns count="3">
    <tableColumn id="1" xr3:uid="{95AEBE33-5872-427C-B638-7D569CE838D0}" name="SQUADRE" dataDxfId="21"/>
    <tableColumn id="2" xr3:uid="{146A23A8-92C9-4D3F-B6A1-9E6B18A4B2D8}" name="Pt" dataDxfId="20"/>
    <tableColumn id="3" xr3:uid="{57C6F983-3AA8-4ED1-BD42-B1FF4EB5F90D}" name="DR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7E72FD-D3A7-45AA-AB66-1B7794C88C1A}" name="Fase2" displayName="Fase2" ref="A1:C9" totalsRowShown="0" headerRowDxfId="19" dataDxfId="18">
  <autoFilter ref="A1:C9" xr:uid="{8C7E72FD-D3A7-45AA-AB66-1B7794C88C1A}"/>
  <sortState xmlns:xlrd2="http://schemas.microsoft.com/office/spreadsheetml/2017/richdata2" ref="A2:C9">
    <sortCondition descending="1" ref="B1:B9"/>
  </sortState>
  <tableColumns count="3">
    <tableColumn id="1" xr3:uid="{837CB7FD-9C94-4E87-8B09-3F048D203D97}" name="SQUADRE" dataDxfId="17"/>
    <tableColumn id="2" xr3:uid="{2051EF30-A2BF-4109-8EF4-6902D6AACF02}" name="Pt" dataDxfId="16"/>
    <tableColumn id="3" xr3:uid="{2B5B8CEC-65A0-4E0F-AB09-192015634754}" name="DR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CA588A-AD98-4E39-B28D-A60E0D3EABD9}" name="Tesserati" displayName="Tesserati" ref="A1:K22" totalsRowShown="0" headerRowDxfId="14" dataDxfId="13">
  <autoFilter ref="A1:K22" xr:uid="{01CA588A-AD98-4E39-B28D-A60E0D3EABD9}"/>
  <tableColumns count="11">
    <tableColumn id="2" xr3:uid="{1788305C-D011-4C3F-8B54-BE5A4E93B1E8}" name="Cognome" dataDxfId="12"/>
    <tableColumn id="3" xr3:uid="{0A8304C5-652D-4AEF-BFFF-B3BC4D369703}" name="Nome" dataDxfId="11"/>
    <tableColumn id="4" xr3:uid="{B30C2D26-550B-4A39-9CE9-25B43FEAA3A9}" name="N° Maglia" dataDxfId="10"/>
    <tableColumn id="5" xr3:uid="{386299A5-BEE8-44F5-8D18-F6519F27B2D5}" name="Nome Maglia" dataDxfId="9"/>
    <tableColumn id="12" xr3:uid="{4CD0F038-2757-4827-81C8-C50D8BDAC7C4}" name="RUOLO" dataDxfId="8"/>
    <tableColumn id="10" xr3:uid="{14491567-6CBD-45F9-9DD8-29EB8AF2237B}" name="Dirigenza" dataDxfId="7"/>
    <tableColumn id="1" xr3:uid="{B28FB98F-E6BE-4D3A-9644-54BB8CAA2A51}" name="Presenze" dataDxfId="6">
      <calculatedColumnFormula array="1">COUNT(IFERROR(VALUE(LEFT(_xlfn._xlws.FILTER(Dati[#Data],Dati[#Headers]=Tesserati[[#This Row],[Nome Maglia]]),1)),""))</calculatedColumnFormula>
    </tableColumn>
    <tableColumn id="6" xr3:uid="{3AEF445D-369E-4A4A-AC6C-1D7FCD847C1C}" name="Goals" dataDxfId="5">
      <calculatedColumnFormula array="1">SUM(IFERROR(VALUE(LEFT(_xlfn._xlws.FILTER(Dati[#Data],Dati[#Headers]=Tesserati[[#This Row],[Nome Maglia]],"0000"),1)),""))</calculatedColumnFormula>
    </tableColumn>
    <tableColumn id="7" xr3:uid="{4E67E8BE-DCC3-4385-BA74-4F5016FD981B}" name="Assist" dataDxfId="4">
      <calculatedColumnFormula array="1">SUM(IFERROR(VALUE(MID(_xlfn._xlws.FILTER(Dati[#Data],Dati[#Headers]=Tesserati[[#This Row],[Nome Maglia]],"0000"),2,1)),""))</calculatedColumnFormula>
    </tableColumn>
    <tableColumn id="8" xr3:uid="{C2AEF0F4-7008-4B23-9070-6CD6E7EB9D27}" name="Gialli" dataDxfId="3">
      <calculatedColumnFormula array="1">SUM(IFERROR(VALUE(MID(_xlfn._xlws.FILTER(Dati[#Data],Dati[#Headers]=Tesserati[[#This Row],[Nome Maglia]],"0000"),3,1)),""))</calculatedColumnFormula>
    </tableColumn>
    <tableColumn id="11" xr3:uid="{C4CBD4B0-5BFB-46A0-90CE-C1BAFAD5E237}" name="Rossi" dataDxfId="2">
      <calculatedColumnFormula array="1">SUM(IFERROR(VALUE(MID(_xlfn._xlws.FILTER(Dati[#Data],Dati[#Headers]=Tesserati[[#This Row],[Nome Maglia]],"0000"),4,1)),""))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3E87-0DCC-41B9-A7E6-F5A1572DD533}">
  <dimension ref="A1:Y26"/>
  <sheetViews>
    <sheetView zoomScale="80" zoomScaleNormal="80" workbookViewId="0">
      <selection activeCell="Z14" sqref="Z14"/>
    </sheetView>
  </sheetViews>
  <sheetFormatPr defaultRowHeight="14.5" x14ac:dyDescent="0.35"/>
  <cols>
    <col min="1" max="1" width="14.54296875" bestFit="1" customWidth="1"/>
    <col min="2" max="2" width="16.90625" bestFit="1" customWidth="1"/>
    <col min="3" max="3" width="12.36328125" bestFit="1" customWidth="1"/>
    <col min="4" max="4" width="12" bestFit="1" customWidth="1"/>
    <col min="5" max="5" width="16.90625" bestFit="1" customWidth="1"/>
    <col min="6" max="6" width="10.6328125" style="8" bestFit="1" customWidth="1"/>
    <col min="7" max="7" width="14.6328125" style="12" bestFit="1" customWidth="1"/>
    <col min="8" max="8" width="15.81640625" style="12" bestFit="1" customWidth="1"/>
    <col min="9" max="9" width="9.7265625" style="12" bestFit="1" customWidth="1"/>
    <col min="10" max="10" width="14.90625" style="12" bestFit="1" customWidth="1"/>
    <col min="11" max="11" width="12" style="12" bestFit="1" customWidth="1"/>
    <col min="12" max="12" width="14.08984375" style="12" bestFit="1" customWidth="1"/>
    <col min="13" max="13" width="14.1796875" style="12" bestFit="1" customWidth="1"/>
    <col min="14" max="14" width="11" style="12" bestFit="1" customWidth="1"/>
    <col min="15" max="15" width="15" style="12" bestFit="1" customWidth="1"/>
    <col min="16" max="16" width="16.26953125" style="12" bestFit="1" customWidth="1"/>
    <col min="17" max="17" width="10.6328125" style="12" bestFit="1" customWidth="1"/>
    <col min="18" max="18" width="11.26953125" style="12" bestFit="1" customWidth="1"/>
    <col min="19" max="19" width="10.54296875" style="12" bestFit="1" customWidth="1"/>
    <col min="20" max="20" width="12.6328125" style="12" bestFit="1" customWidth="1"/>
    <col min="21" max="21" width="10.6328125" style="12" bestFit="1" customWidth="1"/>
    <col min="22" max="22" width="11.81640625" style="12" bestFit="1" customWidth="1"/>
    <col min="23" max="23" width="13.1796875" style="12" bestFit="1" customWidth="1"/>
    <col min="24" max="24" width="14" style="12" bestFit="1" customWidth="1"/>
    <col min="25" max="25" width="14.1796875" style="12" bestFit="1" customWidth="1"/>
  </cols>
  <sheetData>
    <row r="1" spans="1:25" x14ac:dyDescent="0.35">
      <c r="A1" s="7" t="s">
        <v>0</v>
      </c>
      <c r="B1" s="7" t="s">
        <v>84</v>
      </c>
      <c r="C1" s="7" t="s">
        <v>85</v>
      </c>
      <c r="D1" s="7" t="s">
        <v>86</v>
      </c>
      <c r="E1" s="7" t="s">
        <v>87</v>
      </c>
      <c r="F1" s="6" t="s">
        <v>28</v>
      </c>
      <c r="G1" s="12" t="s">
        <v>6</v>
      </c>
      <c r="H1" s="12" t="s">
        <v>21</v>
      </c>
      <c r="I1" s="12" t="s">
        <v>26</v>
      </c>
      <c r="J1" s="12" t="s">
        <v>8</v>
      </c>
      <c r="K1" s="12" t="s">
        <v>22</v>
      </c>
      <c r="L1" s="12" t="s">
        <v>9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27</v>
      </c>
      <c r="R1" s="12" t="s">
        <v>20</v>
      </c>
      <c r="S1" s="12" t="s">
        <v>24</v>
      </c>
      <c r="T1" s="12" t="s">
        <v>19</v>
      </c>
      <c r="U1" s="12" t="s">
        <v>15</v>
      </c>
      <c r="V1" s="12" t="s">
        <v>25</v>
      </c>
      <c r="W1" s="12" t="s">
        <v>23</v>
      </c>
      <c r="X1" s="12" t="s">
        <v>16</v>
      </c>
      <c r="Y1" s="12" t="s">
        <v>17</v>
      </c>
    </row>
    <row r="2" spans="1:25" x14ac:dyDescent="0.35">
      <c r="A2" s="1" t="s">
        <v>88</v>
      </c>
      <c r="B2" s="1" t="s">
        <v>29</v>
      </c>
      <c r="C2" s="1">
        <v>3</v>
      </c>
      <c r="D2" s="1">
        <v>3</v>
      </c>
      <c r="E2" s="1" t="s">
        <v>30</v>
      </c>
      <c r="F2" s="6">
        <v>45582</v>
      </c>
      <c r="G2" s="14" t="s">
        <v>120</v>
      </c>
      <c r="J2" s="12" t="s">
        <v>120</v>
      </c>
      <c r="L2" s="14" t="s">
        <v>120</v>
      </c>
      <c r="M2" s="14" t="s">
        <v>120</v>
      </c>
      <c r="N2" s="14" t="s">
        <v>120</v>
      </c>
      <c r="O2" s="12">
        <v>1000</v>
      </c>
      <c r="P2" s="14" t="s">
        <v>127</v>
      </c>
      <c r="U2" s="12">
        <v>2000</v>
      </c>
      <c r="X2" s="14" t="s">
        <v>120</v>
      </c>
      <c r="Y2" s="14" t="s">
        <v>120</v>
      </c>
    </row>
    <row r="3" spans="1:25" x14ac:dyDescent="0.35">
      <c r="A3" s="1" t="s">
        <v>89</v>
      </c>
      <c r="B3" s="1" t="s">
        <v>29</v>
      </c>
      <c r="C3" s="1">
        <v>2</v>
      </c>
      <c r="D3" s="1">
        <v>4</v>
      </c>
      <c r="E3" s="1" t="s">
        <v>33</v>
      </c>
      <c r="F3" s="6">
        <v>45589</v>
      </c>
      <c r="G3" s="14" t="s">
        <v>120</v>
      </c>
      <c r="L3" s="14" t="s">
        <v>120</v>
      </c>
      <c r="M3" s="12">
        <v>1000</v>
      </c>
      <c r="N3" s="14" t="s">
        <v>120</v>
      </c>
      <c r="O3" s="14" t="s">
        <v>120</v>
      </c>
      <c r="U3" s="14" t="s">
        <v>120</v>
      </c>
      <c r="X3" s="12" t="s">
        <v>131</v>
      </c>
      <c r="Y3" s="14" t="s">
        <v>122</v>
      </c>
    </row>
    <row r="4" spans="1:25" x14ac:dyDescent="0.35">
      <c r="A4" s="1" t="s">
        <v>90</v>
      </c>
      <c r="B4" s="1" t="s">
        <v>36</v>
      </c>
      <c r="C4" s="1">
        <v>3</v>
      </c>
      <c r="D4" s="1">
        <v>2</v>
      </c>
      <c r="E4" s="1" t="s">
        <v>29</v>
      </c>
      <c r="F4" s="6">
        <v>45595</v>
      </c>
      <c r="G4" s="14" t="s">
        <v>120</v>
      </c>
      <c r="J4" s="12" t="s">
        <v>120</v>
      </c>
      <c r="L4" s="14" t="s">
        <v>120</v>
      </c>
      <c r="M4" s="14" t="s">
        <v>120</v>
      </c>
      <c r="N4" s="14" t="s">
        <v>120</v>
      </c>
      <c r="O4" s="14" t="s">
        <v>122</v>
      </c>
      <c r="P4" s="12">
        <v>1000</v>
      </c>
      <c r="T4" s="12">
        <v>1000</v>
      </c>
      <c r="U4" s="14" t="s">
        <v>120</v>
      </c>
      <c r="Y4" s="14" t="s">
        <v>122</v>
      </c>
    </row>
    <row r="5" spans="1:25" x14ac:dyDescent="0.35">
      <c r="A5" s="1" t="s">
        <v>91</v>
      </c>
      <c r="B5" s="1" t="s">
        <v>29</v>
      </c>
      <c r="C5" s="1">
        <v>8</v>
      </c>
      <c r="D5" s="1">
        <v>2</v>
      </c>
      <c r="E5" s="1" t="s">
        <v>31</v>
      </c>
      <c r="F5" s="6">
        <v>45609</v>
      </c>
      <c r="G5" s="14" t="s">
        <v>120</v>
      </c>
      <c r="J5" s="12">
        <v>1000</v>
      </c>
      <c r="L5" s="14" t="s">
        <v>120</v>
      </c>
      <c r="M5" s="12">
        <v>2000</v>
      </c>
      <c r="N5" s="14" t="s">
        <v>120</v>
      </c>
      <c r="O5" s="12">
        <v>1000</v>
      </c>
      <c r="P5" s="14" t="s">
        <v>128</v>
      </c>
      <c r="T5" s="14" t="s">
        <v>120</v>
      </c>
      <c r="U5" s="12">
        <v>1000</v>
      </c>
      <c r="X5" s="14" t="s">
        <v>120</v>
      </c>
      <c r="Y5" s="12" t="s">
        <v>123</v>
      </c>
    </row>
    <row r="6" spans="1:25" x14ac:dyDescent="0.35">
      <c r="A6" s="1" t="s">
        <v>92</v>
      </c>
      <c r="B6" s="1" t="s">
        <v>34</v>
      </c>
      <c r="C6" s="1">
        <v>4</v>
      </c>
      <c r="D6" s="1">
        <v>1</v>
      </c>
      <c r="E6" s="1" t="s">
        <v>29</v>
      </c>
      <c r="F6" s="6">
        <v>45617</v>
      </c>
      <c r="I6" s="14" t="s">
        <v>120</v>
      </c>
      <c r="J6" s="14" t="s">
        <v>120</v>
      </c>
      <c r="L6" s="14" t="s">
        <v>120</v>
      </c>
      <c r="M6" s="14" t="s">
        <v>120</v>
      </c>
      <c r="O6" s="14" t="s">
        <v>122</v>
      </c>
      <c r="P6" s="12">
        <v>1000</v>
      </c>
      <c r="R6" s="14" t="s">
        <v>120</v>
      </c>
      <c r="U6" s="14" t="s">
        <v>120</v>
      </c>
      <c r="X6" s="14" t="s">
        <v>120</v>
      </c>
      <c r="Y6" s="14" t="s">
        <v>120</v>
      </c>
    </row>
    <row r="7" spans="1:25" x14ac:dyDescent="0.35">
      <c r="A7" s="1" t="s">
        <v>93</v>
      </c>
      <c r="B7" s="1" t="s">
        <v>29</v>
      </c>
      <c r="C7" s="1">
        <v>7</v>
      </c>
      <c r="D7" s="1">
        <v>4</v>
      </c>
      <c r="E7" s="1" t="s">
        <v>35</v>
      </c>
      <c r="F7" s="6">
        <v>45624</v>
      </c>
      <c r="I7" s="14" t="s">
        <v>120</v>
      </c>
      <c r="J7" s="12" t="s">
        <v>121</v>
      </c>
      <c r="L7" s="14" t="s">
        <v>120</v>
      </c>
      <c r="M7" s="14" t="s">
        <v>120</v>
      </c>
      <c r="P7" s="12">
        <v>1000</v>
      </c>
      <c r="T7" s="14" t="s">
        <v>120</v>
      </c>
      <c r="U7" s="12" t="s">
        <v>124</v>
      </c>
      <c r="X7" s="12">
        <v>1000</v>
      </c>
      <c r="Y7" s="12" t="s">
        <v>123</v>
      </c>
    </row>
    <row r="8" spans="1:25" s="11" customFormat="1" x14ac:dyDescent="0.35">
      <c r="A8" s="9" t="s">
        <v>94</v>
      </c>
      <c r="B8" s="9" t="s">
        <v>29</v>
      </c>
      <c r="C8" s="9">
        <v>2</v>
      </c>
      <c r="D8" s="9">
        <v>9</v>
      </c>
      <c r="E8" s="9" t="s">
        <v>32</v>
      </c>
      <c r="F8" s="10">
        <v>45630</v>
      </c>
      <c r="G8" s="13"/>
      <c r="H8" s="15" t="s">
        <v>120</v>
      </c>
      <c r="I8" s="13"/>
      <c r="J8" s="13"/>
      <c r="K8" s="15" t="s">
        <v>120</v>
      </c>
      <c r="L8" s="13"/>
      <c r="M8" s="15" t="s">
        <v>120</v>
      </c>
      <c r="N8" s="13"/>
      <c r="O8" s="15" t="s">
        <v>120</v>
      </c>
      <c r="P8" s="15" t="s">
        <v>120</v>
      </c>
      <c r="Q8" s="13"/>
      <c r="R8" s="13"/>
      <c r="S8" s="13"/>
      <c r="T8" s="13"/>
      <c r="U8" s="13">
        <v>1000</v>
      </c>
      <c r="V8" s="13"/>
      <c r="W8" s="15" t="s">
        <v>120</v>
      </c>
      <c r="X8" s="15" t="s">
        <v>120</v>
      </c>
      <c r="Y8" s="13">
        <v>1000</v>
      </c>
    </row>
    <row r="9" spans="1:25" x14ac:dyDescent="0.35">
      <c r="A9" s="1" t="s">
        <v>95</v>
      </c>
      <c r="B9" s="1" t="s">
        <v>29</v>
      </c>
      <c r="C9" s="1">
        <v>3</v>
      </c>
      <c r="D9" s="1">
        <v>2</v>
      </c>
      <c r="E9" s="1" t="s">
        <v>41</v>
      </c>
      <c r="F9" s="6">
        <v>45673</v>
      </c>
      <c r="G9" s="14" t="s">
        <v>120</v>
      </c>
      <c r="J9" s="14" t="s">
        <v>120</v>
      </c>
      <c r="M9" s="14" t="s">
        <v>122</v>
      </c>
      <c r="O9" s="14" t="s">
        <v>125</v>
      </c>
      <c r="P9" s="14" t="s">
        <v>129</v>
      </c>
      <c r="R9" s="14" t="s">
        <v>120</v>
      </c>
      <c r="U9" s="12">
        <v>3000</v>
      </c>
      <c r="X9" s="14" t="s">
        <v>120</v>
      </c>
      <c r="Y9" s="14" t="s">
        <v>129</v>
      </c>
    </row>
    <row r="10" spans="1:25" x14ac:dyDescent="0.35">
      <c r="A10" s="1" t="s">
        <v>96</v>
      </c>
      <c r="B10" s="1" t="s">
        <v>39</v>
      </c>
      <c r="C10" s="1">
        <v>3</v>
      </c>
      <c r="D10" s="1">
        <v>6</v>
      </c>
      <c r="E10" s="1" t="s">
        <v>29</v>
      </c>
      <c r="F10" s="6">
        <v>45677</v>
      </c>
      <c r="J10" s="14" t="s">
        <v>120</v>
      </c>
      <c r="L10" s="14" t="s">
        <v>122</v>
      </c>
      <c r="M10" s="14" t="s">
        <v>120</v>
      </c>
      <c r="O10" s="12">
        <v>1000</v>
      </c>
      <c r="R10" s="12">
        <v>2000</v>
      </c>
      <c r="U10" s="14" t="s">
        <v>120</v>
      </c>
      <c r="W10" s="14" t="s">
        <v>120</v>
      </c>
      <c r="X10" s="12">
        <v>1000</v>
      </c>
      <c r="Y10" s="12" t="s">
        <v>124</v>
      </c>
    </row>
    <row r="11" spans="1:25" x14ac:dyDescent="0.35">
      <c r="A11" s="1" t="s">
        <v>97</v>
      </c>
      <c r="B11" s="1" t="s">
        <v>42</v>
      </c>
      <c r="C11" s="1">
        <v>3</v>
      </c>
      <c r="D11" s="1">
        <v>1</v>
      </c>
      <c r="E11" s="1" t="s">
        <v>29</v>
      </c>
      <c r="F11" s="6">
        <v>45686</v>
      </c>
      <c r="H11" s="14" t="s">
        <v>120</v>
      </c>
      <c r="L11" s="14" t="s">
        <v>120</v>
      </c>
      <c r="O11" s="14" t="s">
        <v>120</v>
      </c>
      <c r="P11" s="14" t="s">
        <v>122</v>
      </c>
      <c r="R11" s="14" t="s">
        <v>120</v>
      </c>
      <c r="T11" s="14" t="s">
        <v>120</v>
      </c>
      <c r="U11" s="12">
        <v>1000</v>
      </c>
      <c r="W11" s="14" t="s">
        <v>120</v>
      </c>
      <c r="X11" s="14" t="s">
        <v>120</v>
      </c>
      <c r="Y11" s="14" t="s">
        <v>120</v>
      </c>
    </row>
    <row r="12" spans="1:25" x14ac:dyDescent="0.35">
      <c r="A12" s="1" t="s">
        <v>98</v>
      </c>
      <c r="B12" s="1" t="s">
        <v>29</v>
      </c>
      <c r="C12" s="1">
        <v>3</v>
      </c>
      <c r="D12" s="1">
        <v>4</v>
      </c>
      <c r="E12" s="1" t="s">
        <v>43</v>
      </c>
      <c r="F12" s="6">
        <v>45691</v>
      </c>
      <c r="J12" s="14" t="s">
        <v>120</v>
      </c>
      <c r="L12" s="14" t="s">
        <v>120</v>
      </c>
      <c r="M12" s="14" t="s">
        <v>120</v>
      </c>
      <c r="O12" s="14" t="s">
        <v>119</v>
      </c>
      <c r="P12" s="12" t="s">
        <v>124</v>
      </c>
      <c r="R12" s="14" t="s">
        <v>120</v>
      </c>
      <c r="U12" s="14" t="s">
        <v>120</v>
      </c>
      <c r="W12" s="14" t="s">
        <v>120</v>
      </c>
      <c r="Y12" s="12">
        <v>1000</v>
      </c>
    </row>
    <row r="13" spans="1:25" x14ac:dyDescent="0.35">
      <c r="A13" s="1" t="s">
        <v>99</v>
      </c>
      <c r="B13" s="1" t="s">
        <v>29</v>
      </c>
      <c r="C13" s="1">
        <v>4</v>
      </c>
      <c r="D13" s="1">
        <v>6</v>
      </c>
      <c r="E13" s="1" t="s">
        <v>40</v>
      </c>
      <c r="F13" s="6">
        <v>45700</v>
      </c>
      <c r="L13" s="12">
        <v>1000</v>
      </c>
      <c r="M13" s="14" t="s">
        <v>122</v>
      </c>
      <c r="N13" s="14" t="s">
        <v>120</v>
      </c>
      <c r="P13" s="12">
        <v>1000</v>
      </c>
      <c r="R13" s="12" t="s">
        <v>130</v>
      </c>
      <c r="S13" s="14" t="s">
        <v>120</v>
      </c>
      <c r="T13" s="14" t="s">
        <v>120</v>
      </c>
      <c r="U13" s="12">
        <v>1000</v>
      </c>
      <c r="X13" s="14" t="s">
        <v>120</v>
      </c>
    </row>
    <row r="14" spans="1:25" x14ac:dyDescent="0.35">
      <c r="A14" s="1" t="s">
        <v>100</v>
      </c>
      <c r="B14" s="1" t="s">
        <v>29</v>
      </c>
      <c r="C14" s="1">
        <v>3</v>
      </c>
      <c r="D14" s="1">
        <v>5</v>
      </c>
      <c r="E14" s="1" t="s">
        <v>37</v>
      </c>
      <c r="F14" s="6">
        <v>45707</v>
      </c>
      <c r="L14" s="14" t="s">
        <v>120</v>
      </c>
      <c r="M14" s="12">
        <v>1000</v>
      </c>
      <c r="N14" s="14" t="s">
        <v>120</v>
      </c>
      <c r="P14" s="12">
        <v>1000</v>
      </c>
      <c r="R14" s="12">
        <v>1000</v>
      </c>
      <c r="S14" s="14" t="s">
        <v>120</v>
      </c>
      <c r="T14" s="14" t="s">
        <v>120</v>
      </c>
      <c r="U14" s="14" t="s">
        <v>120</v>
      </c>
      <c r="X14" s="14" t="s">
        <v>120</v>
      </c>
    </row>
    <row r="15" spans="1:25" x14ac:dyDescent="0.35">
      <c r="A15" s="1" t="s">
        <v>101</v>
      </c>
      <c r="B15" s="1" t="s">
        <v>38</v>
      </c>
      <c r="C15" s="1">
        <v>5</v>
      </c>
      <c r="D15" s="1">
        <v>1</v>
      </c>
      <c r="E15" s="1" t="s">
        <v>29</v>
      </c>
      <c r="F15" s="6">
        <v>45714</v>
      </c>
      <c r="I15" s="14" t="s">
        <v>120</v>
      </c>
      <c r="J15" s="12">
        <v>1000</v>
      </c>
      <c r="M15" s="14" t="s">
        <v>120</v>
      </c>
      <c r="N15" s="14" t="s">
        <v>120</v>
      </c>
      <c r="O15" s="14" t="s">
        <v>120</v>
      </c>
      <c r="R15" s="14" t="s">
        <v>120</v>
      </c>
      <c r="S15" s="14" t="s">
        <v>120</v>
      </c>
      <c r="V15" s="14" t="s">
        <v>120</v>
      </c>
      <c r="X15" s="14" t="s">
        <v>120</v>
      </c>
    </row>
    <row r="16" spans="1:25" x14ac:dyDescent="0.35">
      <c r="A16" s="1" t="s">
        <v>102</v>
      </c>
      <c r="B16" s="1" t="s">
        <v>41</v>
      </c>
      <c r="C16" s="1">
        <v>2</v>
      </c>
      <c r="D16" s="1">
        <v>6</v>
      </c>
      <c r="E16" s="1" t="s">
        <v>29</v>
      </c>
      <c r="F16" s="6">
        <v>45719</v>
      </c>
      <c r="J16" s="14" t="s">
        <v>120</v>
      </c>
      <c r="L16" s="14" t="s">
        <v>120</v>
      </c>
      <c r="M16" s="14" t="s">
        <v>122</v>
      </c>
      <c r="N16" s="14" t="s">
        <v>120</v>
      </c>
      <c r="P16" s="12">
        <v>1000</v>
      </c>
      <c r="Q16" s="12" t="s">
        <v>135</v>
      </c>
      <c r="R16" s="12">
        <v>1000</v>
      </c>
      <c r="U16" s="12">
        <v>2000</v>
      </c>
      <c r="X16" s="14" t="s">
        <v>120</v>
      </c>
      <c r="Y16" s="14" t="s">
        <v>122</v>
      </c>
    </row>
    <row r="17" spans="1:25" x14ac:dyDescent="0.35">
      <c r="A17" s="1" t="s">
        <v>103</v>
      </c>
      <c r="B17" s="1" t="s">
        <v>29</v>
      </c>
      <c r="C17" s="1">
        <v>7</v>
      </c>
      <c r="D17" s="1">
        <v>2</v>
      </c>
      <c r="E17" s="1" t="s">
        <v>38</v>
      </c>
      <c r="F17" s="6">
        <v>45719</v>
      </c>
      <c r="L17" s="14" t="s">
        <v>120</v>
      </c>
      <c r="M17" s="12" t="s">
        <v>124</v>
      </c>
      <c r="N17" s="14" t="s">
        <v>120</v>
      </c>
      <c r="P17" s="14" t="s">
        <v>126</v>
      </c>
      <c r="Q17" s="12">
        <v>3000</v>
      </c>
      <c r="U17" s="12" t="s">
        <v>130</v>
      </c>
      <c r="X17" s="14" t="s">
        <v>120</v>
      </c>
      <c r="Y17" s="12">
        <v>1000</v>
      </c>
    </row>
    <row r="18" spans="1:25" x14ac:dyDescent="0.35">
      <c r="A18" s="1" t="s">
        <v>104</v>
      </c>
      <c r="B18" s="1" t="s">
        <v>40</v>
      </c>
      <c r="C18" s="1">
        <v>3</v>
      </c>
      <c r="D18" s="1">
        <v>6</v>
      </c>
      <c r="E18" s="1" t="s">
        <v>29</v>
      </c>
      <c r="F18" s="6">
        <v>45735</v>
      </c>
      <c r="L18" s="14" t="s">
        <v>120</v>
      </c>
      <c r="M18" s="14" t="s">
        <v>120</v>
      </c>
      <c r="P18" s="12" t="s">
        <v>130</v>
      </c>
      <c r="Q18" s="12">
        <v>3000</v>
      </c>
      <c r="R18" s="14" t="s">
        <v>122</v>
      </c>
      <c r="U18" s="12">
        <v>1000</v>
      </c>
      <c r="V18" s="14" t="s">
        <v>120</v>
      </c>
      <c r="X18" s="12">
        <v>1000</v>
      </c>
      <c r="Y18" s="14" t="s">
        <v>122</v>
      </c>
    </row>
    <row r="19" spans="1:25" x14ac:dyDescent="0.35">
      <c r="A19" s="1" t="s">
        <v>105</v>
      </c>
      <c r="B19" s="1" t="s">
        <v>43</v>
      </c>
      <c r="C19" s="1">
        <v>3</v>
      </c>
      <c r="D19" s="1">
        <v>5</v>
      </c>
      <c r="E19" s="1" t="s">
        <v>29</v>
      </c>
      <c r="F19" s="6">
        <v>45743</v>
      </c>
      <c r="J19" s="14" t="s">
        <v>120</v>
      </c>
      <c r="L19" s="14" t="s">
        <v>120</v>
      </c>
      <c r="M19" s="12">
        <v>1000</v>
      </c>
      <c r="N19" s="14" t="s">
        <v>120</v>
      </c>
      <c r="P19" s="14" t="s">
        <v>122</v>
      </c>
      <c r="Q19" s="12">
        <v>2000</v>
      </c>
      <c r="R19" s="14" t="s">
        <v>120</v>
      </c>
      <c r="U19" s="12">
        <v>1000</v>
      </c>
      <c r="V19" s="14" t="s">
        <v>120</v>
      </c>
      <c r="X19" s="14" t="s">
        <v>120</v>
      </c>
      <c r="Y19" s="12">
        <v>1000</v>
      </c>
    </row>
    <row r="20" spans="1:25" x14ac:dyDescent="0.35">
      <c r="A20" s="1" t="s">
        <v>106</v>
      </c>
      <c r="B20" s="1" t="s">
        <v>29</v>
      </c>
      <c r="C20" s="1">
        <v>6</v>
      </c>
      <c r="D20" s="1">
        <v>2</v>
      </c>
      <c r="E20" s="1" t="s">
        <v>42</v>
      </c>
      <c r="F20" s="6">
        <v>45750</v>
      </c>
      <c r="L20" s="14" t="s">
        <v>122</v>
      </c>
      <c r="M20" s="14" t="s">
        <v>120</v>
      </c>
      <c r="N20" s="14" t="s">
        <v>120</v>
      </c>
      <c r="P20" s="14" t="s">
        <v>126</v>
      </c>
      <c r="Q20" s="12">
        <v>3000</v>
      </c>
      <c r="R20" s="12">
        <v>2000</v>
      </c>
      <c r="U20" s="12">
        <v>1000</v>
      </c>
      <c r="V20" s="14" t="s">
        <v>120</v>
      </c>
      <c r="X20" s="14" t="s">
        <v>120</v>
      </c>
      <c r="Y20" s="14" t="s">
        <v>126</v>
      </c>
    </row>
    <row r="21" spans="1:25" x14ac:dyDescent="0.35">
      <c r="A21" s="1" t="s">
        <v>107</v>
      </c>
      <c r="B21" s="1" t="s">
        <v>29</v>
      </c>
      <c r="C21" s="1">
        <v>3</v>
      </c>
      <c r="D21" s="1">
        <v>2</v>
      </c>
      <c r="E21" s="1" t="s">
        <v>39</v>
      </c>
      <c r="F21" s="8">
        <v>45754</v>
      </c>
      <c r="L21" s="12" t="s">
        <v>120</v>
      </c>
      <c r="M21" s="12" t="s">
        <v>120</v>
      </c>
      <c r="N21" s="12" t="s">
        <v>120</v>
      </c>
      <c r="P21" s="12" t="s">
        <v>120</v>
      </c>
      <c r="Q21" s="12">
        <v>3000</v>
      </c>
      <c r="R21" s="12" t="s">
        <v>122</v>
      </c>
      <c r="T21" s="12" t="s">
        <v>120</v>
      </c>
      <c r="U21" s="12" t="s">
        <v>120</v>
      </c>
      <c r="V21" s="12" t="s">
        <v>120</v>
      </c>
    </row>
    <row r="22" spans="1:25" x14ac:dyDescent="0.35">
      <c r="A22" s="1" t="s">
        <v>108</v>
      </c>
      <c r="B22" s="1" t="s">
        <v>37</v>
      </c>
      <c r="C22" s="2">
        <v>1</v>
      </c>
      <c r="D22" s="2">
        <v>2</v>
      </c>
      <c r="E22" s="1" t="s">
        <v>29</v>
      </c>
      <c r="F22" s="8">
        <v>45764</v>
      </c>
      <c r="J22" s="12" t="s">
        <v>120</v>
      </c>
      <c r="L22" s="12" t="s">
        <v>120</v>
      </c>
      <c r="M22" s="12" t="s">
        <v>120</v>
      </c>
      <c r="N22" s="12" t="s">
        <v>120</v>
      </c>
      <c r="P22" s="12" t="s">
        <v>120</v>
      </c>
      <c r="R22" s="12" t="s">
        <v>132</v>
      </c>
      <c r="U22" s="12" t="s">
        <v>120</v>
      </c>
      <c r="V22" s="12" t="s">
        <v>120</v>
      </c>
      <c r="X22" s="12" t="s">
        <v>122</v>
      </c>
      <c r="Y22" s="12" t="s">
        <v>132</v>
      </c>
    </row>
    <row r="23" spans="1:25" x14ac:dyDescent="0.35">
      <c r="A23" s="1" t="s">
        <v>109</v>
      </c>
      <c r="B23" s="1" t="s">
        <v>29</v>
      </c>
      <c r="C23">
        <v>3</v>
      </c>
      <c r="D23">
        <v>5</v>
      </c>
      <c r="E23" t="s">
        <v>134</v>
      </c>
      <c r="J23" s="12" t="s">
        <v>120</v>
      </c>
      <c r="L23" s="12" t="s">
        <v>120</v>
      </c>
      <c r="M23" s="12" t="s">
        <v>120</v>
      </c>
      <c r="N23" s="12" t="s">
        <v>120</v>
      </c>
      <c r="O23" s="12" t="s">
        <v>120</v>
      </c>
      <c r="R23" s="12" t="s">
        <v>120</v>
      </c>
      <c r="U23" s="12" t="s">
        <v>120</v>
      </c>
      <c r="X23" s="12" t="s">
        <v>120</v>
      </c>
      <c r="Y23" s="12" t="s">
        <v>120</v>
      </c>
    </row>
    <row r="24" spans="1:25" x14ac:dyDescent="0.35">
      <c r="A24" s="1" t="s">
        <v>110</v>
      </c>
    </row>
    <row r="25" spans="1:25" x14ac:dyDescent="0.35">
      <c r="A25" s="1" t="s">
        <v>111</v>
      </c>
    </row>
    <row r="26" spans="1:25" x14ac:dyDescent="0.35">
      <c r="A26" s="1" t="s">
        <v>112</v>
      </c>
    </row>
  </sheetData>
  <conditionalFormatting sqref="B1:B1048576 E1:E1048576">
    <cfRule type="containsText" dxfId="0" priority="1" operator="containsText" text="Banda bassotti">
      <formula>NOT(ISERROR(SEARCH("Banda bassotti",B1)))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CD08-A4B1-4357-87AA-5E49601A8A64}">
  <dimension ref="A1:C9"/>
  <sheetViews>
    <sheetView workbookViewId="0">
      <selection activeCell="D11" sqref="D11"/>
    </sheetView>
  </sheetViews>
  <sheetFormatPr defaultRowHeight="14.5" x14ac:dyDescent="0.35"/>
  <cols>
    <col min="1" max="1" width="13.54296875" style="2" bestFit="1" customWidth="1"/>
    <col min="2" max="2" width="7.08984375" style="2" bestFit="1" customWidth="1"/>
  </cols>
  <sheetData>
    <row r="1" spans="1:3" x14ac:dyDescent="0.35">
      <c r="A1" s="2" t="s">
        <v>81</v>
      </c>
      <c r="B1" s="2" t="s">
        <v>82</v>
      </c>
      <c r="C1" s="2" t="s">
        <v>133</v>
      </c>
    </row>
    <row r="2" spans="1:3" x14ac:dyDescent="0.35">
      <c r="A2" s="2" t="s">
        <v>32</v>
      </c>
      <c r="B2" s="2">
        <v>19</v>
      </c>
      <c r="C2" s="2">
        <v>30</v>
      </c>
    </row>
    <row r="3" spans="1:3" x14ac:dyDescent="0.35">
      <c r="A3" s="2" t="s">
        <v>34</v>
      </c>
      <c r="B3" s="2">
        <v>17</v>
      </c>
      <c r="C3" s="2">
        <v>14</v>
      </c>
    </row>
    <row r="4" spans="1:3" x14ac:dyDescent="0.35">
      <c r="A4" s="2" t="s">
        <v>36</v>
      </c>
      <c r="B4" s="2">
        <v>7</v>
      </c>
      <c r="C4" s="2">
        <v>10</v>
      </c>
    </row>
    <row r="5" spans="1:3" x14ac:dyDescent="0.35">
      <c r="A5" s="2" t="s">
        <v>29</v>
      </c>
      <c r="B5" s="2">
        <v>7</v>
      </c>
      <c r="C5" s="2">
        <v>-4</v>
      </c>
    </row>
    <row r="6" spans="1:3" x14ac:dyDescent="0.35">
      <c r="A6" s="2" t="s">
        <v>30</v>
      </c>
      <c r="B6" s="2">
        <v>7</v>
      </c>
      <c r="C6" s="2">
        <v>-20</v>
      </c>
    </row>
    <row r="7" spans="1:3" x14ac:dyDescent="0.35">
      <c r="A7" s="2" t="s">
        <v>33</v>
      </c>
      <c r="B7" s="2">
        <v>6</v>
      </c>
      <c r="C7" s="2">
        <v>-6</v>
      </c>
    </row>
    <row r="8" spans="1:3" x14ac:dyDescent="0.35">
      <c r="A8" s="2" t="s">
        <v>35</v>
      </c>
      <c r="B8" s="2">
        <v>6</v>
      </c>
      <c r="C8" s="2">
        <v>-9</v>
      </c>
    </row>
    <row r="9" spans="1:3" x14ac:dyDescent="0.35">
      <c r="A9" s="2" t="s">
        <v>31</v>
      </c>
      <c r="B9" s="2">
        <v>3</v>
      </c>
      <c r="C9" s="2">
        <v>-15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A995-D24E-4574-BE33-955216E0D957}">
  <dimension ref="A1:C9"/>
  <sheetViews>
    <sheetView tabSelected="1" workbookViewId="0">
      <selection activeCell="E6" sqref="E6"/>
    </sheetView>
  </sheetViews>
  <sheetFormatPr defaultRowHeight="14.5" x14ac:dyDescent="0.35"/>
  <cols>
    <col min="1" max="1" width="18.1796875" style="2" bestFit="1" customWidth="1"/>
    <col min="2" max="2" width="7.453125" style="2" bestFit="1" customWidth="1"/>
  </cols>
  <sheetData>
    <row r="1" spans="1:3" s="4" customFormat="1" x14ac:dyDescent="0.35">
      <c r="A1" s="3" t="s">
        <v>81</v>
      </c>
      <c r="B1" s="3" t="s">
        <v>82</v>
      </c>
      <c r="C1" s="5" t="s">
        <v>133</v>
      </c>
    </row>
    <row r="2" spans="1:3" x14ac:dyDescent="0.35">
      <c r="A2" s="2" t="s">
        <v>42</v>
      </c>
      <c r="B2" s="2">
        <v>36</v>
      </c>
      <c r="C2" s="2">
        <v>17</v>
      </c>
    </row>
    <row r="3" spans="1:3" x14ac:dyDescent="0.35">
      <c r="A3" s="2" t="s">
        <v>29</v>
      </c>
      <c r="B3" s="2">
        <v>31</v>
      </c>
      <c r="C3" s="2">
        <v>11</v>
      </c>
    </row>
    <row r="4" spans="1:3" x14ac:dyDescent="0.35">
      <c r="A4" s="2" t="s">
        <v>41</v>
      </c>
      <c r="B4" s="2">
        <v>29</v>
      </c>
      <c r="C4" s="2">
        <v>16</v>
      </c>
    </row>
    <row r="5" spans="1:3" x14ac:dyDescent="0.35">
      <c r="A5" s="2" t="s">
        <v>38</v>
      </c>
      <c r="B5" s="2">
        <v>26</v>
      </c>
      <c r="C5" s="2">
        <v>12</v>
      </c>
    </row>
    <row r="6" spans="1:3" x14ac:dyDescent="0.35">
      <c r="A6" s="2" t="s">
        <v>43</v>
      </c>
      <c r="B6" s="2">
        <v>26</v>
      </c>
      <c r="C6" s="2">
        <v>3</v>
      </c>
    </row>
    <row r="7" spans="1:3" x14ac:dyDescent="0.35">
      <c r="A7" s="2" t="s">
        <v>40</v>
      </c>
      <c r="B7" s="2">
        <v>17</v>
      </c>
      <c r="C7" s="2">
        <v>-16</v>
      </c>
    </row>
    <row r="8" spans="1:3" x14ac:dyDescent="0.35">
      <c r="A8" s="2" t="s">
        <v>39</v>
      </c>
      <c r="B8" s="2">
        <v>15</v>
      </c>
      <c r="C8" s="2">
        <v>-12</v>
      </c>
    </row>
    <row r="9" spans="1:3" x14ac:dyDescent="0.35">
      <c r="A9" s="2" t="s">
        <v>37</v>
      </c>
      <c r="B9" s="2">
        <v>12</v>
      </c>
      <c r="C9" s="2">
        <v>-31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C7E9-1064-418D-AD39-E9F338898537}">
  <dimension ref="A1:K22"/>
  <sheetViews>
    <sheetView topLeftCell="B1" zoomScaleNormal="100" workbookViewId="0">
      <selection activeCell="G2" sqref="G2"/>
    </sheetView>
  </sheetViews>
  <sheetFormatPr defaultRowHeight="14.5" x14ac:dyDescent="0.35"/>
  <cols>
    <col min="1" max="1" width="14.36328125" bestFit="1" customWidth="1"/>
    <col min="2" max="2" width="15.7265625" bestFit="1" customWidth="1"/>
    <col min="3" max="3" width="13.1796875" bestFit="1" customWidth="1"/>
    <col min="4" max="4" width="16.08984375" bestFit="1" customWidth="1"/>
    <col min="5" max="5" width="16.08984375" customWidth="1"/>
    <col min="6" max="6" width="13.1796875" bestFit="1" customWidth="1"/>
    <col min="7" max="7" width="12.90625" bestFit="1" customWidth="1"/>
    <col min="8" max="8" width="10.08984375" bestFit="1" customWidth="1"/>
    <col min="9" max="9" width="10.36328125" bestFit="1" customWidth="1"/>
    <col min="10" max="10" width="9.81640625" bestFit="1" customWidth="1"/>
    <col min="11" max="11" width="9.90625" bestFit="1" customWidth="1"/>
    <col min="14" max="14" width="9" bestFit="1" customWidth="1"/>
  </cols>
  <sheetData>
    <row r="1" spans="1:11" x14ac:dyDescent="0.35">
      <c r="A1" s="1" t="s">
        <v>44</v>
      </c>
      <c r="B1" s="1" t="s">
        <v>45</v>
      </c>
      <c r="C1" s="1" t="s">
        <v>74</v>
      </c>
      <c r="D1" s="1" t="s">
        <v>75</v>
      </c>
      <c r="E1" s="1" t="s">
        <v>113</v>
      </c>
      <c r="F1" s="1" t="s">
        <v>76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35">
      <c r="A2" s="1" t="s">
        <v>46</v>
      </c>
      <c r="B2" s="1" t="s">
        <v>47</v>
      </c>
      <c r="C2" s="1">
        <v>34</v>
      </c>
      <c r="D2" s="1" t="s">
        <v>6</v>
      </c>
      <c r="E2" s="1" t="s">
        <v>7</v>
      </c>
      <c r="F2" s="1"/>
      <c r="G2" s="1" cm="1">
        <f t="array" ref="G2">COUNT(IFERROR(VALUE(LEFT(_xlfn._xlws.FILTER(Dati[#Data],Dati[#Headers]=Tesserati[[#This Row],[Nome Maglia]]),1)),""))</f>
        <v>5</v>
      </c>
      <c r="H2" s="1" cm="1">
        <f t="array" ref="H2">SUM(IFERROR(VALUE(LEFT(_xlfn._xlws.FILTER(Dati[#Data],Dati[#Headers]=Tesserati[[#This Row],[Nome Maglia]],"0000"),1)),""))</f>
        <v>0</v>
      </c>
      <c r="I2" s="1" cm="1">
        <f t="array" ref="I2">SUM(IFERROR(VALUE(MID(_xlfn._xlws.FILTER(Dati[#Data],Dati[#Headers]=Tesserati[[#This Row],[Nome Maglia]],"0000"),2,1)),""))</f>
        <v>0</v>
      </c>
      <c r="J2" s="1" cm="1">
        <f t="array" ref="J2">SUM(IFERROR(VALUE(MID(_xlfn._xlws.FILTER(Dati[#Data],Dati[#Headers]=Tesserati[[#This Row],[Nome Maglia]],"0000"),3,1)),""))</f>
        <v>0</v>
      </c>
      <c r="K2" s="1" cm="1">
        <f t="array" ref="K2">SUM(IFERROR(VALUE(MID(_xlfn._xlws.FILTER(Dati[#Data],Dati[#Headers]=Tesserati[[#This Row],[Nome Maglia]],"0000"),4,1)),""))</f>
        <v>0</v>
      </c>
    </row>
    <row r="3" spans="1:11" x14ac:dyDescent="0.35">
      <c r="A3" s="1" t="s">
        <v>48</v>
      </c>
      <c r="B3" s="1" t="s">
        <v>49</v>
      </c>
      <c r="C3" s="1">
        <v>45</v>
      </c>
      <c r="D3" s="1" t="s">
        <v>21</v>
      </c>
      <c r="E3" s="1" t="s">
        <v>10</v>
      </c>
      <c r="F3" s="1"/>
      <c r="G3" s="1" cm="1">
        <f t="array" ref="G3">COUNT(IFERROR(VALUE(LEFT(_xlfn._xlws.FILTER(Dati[#Data],Dati[#Headers]=Tesserati[[#This Row],[Nome Maglia]]),1)),""))</f>
        <v>2</v>
      </c>
      <c r="H3" s="1" cm="1">
        <f t="array" ref="H3">SUM(IFERROR(VALUE(LEFT(_xlfn._xlws.FILTER(Dati[#Data],Dati[#Headers]=Tesserati[[#This Row],[Nome Maglia]],"0000"),1)),""))</f>
        <v>0</v>
      </c>
      <c r="I3" s="1" cm="1">
        <f t="array" ref="I3">SUM(IFERROR(VALUE(MID(_xlfn._xlws.FILTER(Dati[#Data],Dati[#Headers]=Tesserati[[#This Row],[Nome Maglia]],"0000"),2,1)),""))</f>
        <v>0</v>
      </c>
      <c r="J3" s="1" cm="1">
        <f t="array" ref="J3">SUM(IFERROR(VALUE(MID(_xlfn._xlws.FILTER(Dati[#Data],Dati[#Headers]=Tesserati[[#This Row],[Nome Maglia]],"0000"),3,1)),""))</f>
        <v>0</v>
      </c>
      <c r="K3" s="1" cm="1">
        <f t="array" ref="K3">SUM(IFERROR(VALUE(MID(_xlfn._xlws.FILTER(Dati[#Data],Dati[#Headers]=Tesserati[[#This Row],[Nome Maglia]],"0000"),4,1)),""))</f>
        <v>0</v>
      </c>
    </row>
    <row r="4" spans="1:11" x14ac:dyDescent="0.35">
      <c r="A4" s="1" t="s">
        <v>26</v>
      </c>
      <c r="B4" s="1" t="s">
        <v>50</v>
      </c>
      <c r="C4" s="1" t="s">
        <v>83</v>
      </c>
      <c r="D4" s="1" t="s">
        <v>26</v>
      </c>
      <c r="E4" s="1" t="s">
        <v>118</v>
      </c>
      <c r="F4" s="1"/>
      <c r="G4" s="1" cm="1">
        <f t="array" ref="G4">COUNT(IFERROR(VALUE(LEFT(_xlfn._xlws.FILTER(Dati[#Data],Dati[#Headers]=Tesserati[[#This Row],[Nome Maglia]]),1)),""))</f>
        <v>3</v>
      </c>
      <c r="H4" s="1" cm="1">
        <f t="array" ref="H4">SUM(IFERROR(VALUE(LEFT(_xlfn._xlws.FILTER(Dati[#Data],Dati[#Headers]=Tesserati[[#This Row],[Nome Maglia]],"0000"),1)),""))</f>
        <v>0</v>
      </c>
      <c r="I4" s="1" cm="1">
        <f t="array" ref="I4">SUM(IFERROR(VALUE(MID(_xlfn._xlws.FILTER(Dati[#Data],Dati[#Headers]=Tesserati[[#This Row],[Nome Maglia]],"0000"),2,1)),""))</f>
        <v>0</v>
      </c>
      <c r="J4" s="1" cm="1">
        <f t="array" ref="J4">SUM(IFERROR(VALUE(MID(_xlfn._xlws.FILTER(Dati[#Data],Dati[#Headers]=Tesserati[[#This Row],[Nome Maglia]],"0000"),3,1)),""))</f>
        <v>0</v>
      </c>
      <c r="K4" s="1" cm="1">
        <f t="array" ref="K4">SUM(IFERROR(VALUE(MID(_xlfn._xlws.FILTER(Dati[#Data],Dati[#Headers]=Tesserati[[#This Row],[Nome Maglia]],"0000"),4,1)),""))</f>
        <v>0</v>
      </c>
    </row>
    <row r="5" spans="1:11" x14ac:dyDescent="0.35">
      <c r="A5" s="1" t="s">
        <v>51</v>
      </c>
      <c r="B5" s="1" t="s">
        <v>52</v>
      </c>
      <c r="C5" s="1">
        <v>10</v>
      </c>
      <c r="D5" s="1" t="s">
        <v>8</v>
      </c>
      <c r="E5" s="1" t="s">
        <v>114</v>
      </c>
      <c r="F5" s="1"/>
      <c r="G5" s="1" cm="1">
        <f t="array" ref="G5">COUNT(IFERROR(VALUE(LEFT(_xlfn._xlws.FILTER(Dati[#Data],Dati[#Headers]=Tesserati[[#This Row],[Nome Maglia]]),1)),""))</f>
        <v>13</v>
      </c>
      <c r="H5" s="1" cm="1">
        <f t="array" ref="H5">SUM(IFERROR(VALUE(LEFT(_xlfn._xlws.FILTER(Dati[#Data],Dati[#Headers]=Tesserati[[#This Row],[Nome Maglia]],"0000"),1)),""))</f>
        <v>3</v>
      </c>
      <c r="I5" s="1" cm="1">
        <f t="array" ref="I5">SUM(IFERROR(VALUE(MID(_xlfn._xlws.FILTER(Dati[#Data],Dati[#Headers]=Tesserati[[#This Row],[Nome Maglia]],"0000"),2,1)),""))</f>
        <v>2</v>
      </c>
      <c r="J5" s="1" cm="1">
        <f t="array" ref="J5">SUM(IFERROR(VALUE(MID(_xlfn._xlws.FILTER(Dati[#Data],Dati[#Headers]=Tesserati[[#This Row],[Nome Maglia]],"0000"),3,1)),""))</f>
        <v>0</v>
      </c>
      <c r="K5" s="1" cm="1">
        <f t="array" ref="K5">SUM(IFERROR(VALUE(MID(_xlfn._xlws.FILTER(Dati[#Data],Dati[#Headers]=Tesserati[[#This Row],[Nome Maglia]],"0000"),4,1)),""))</f>
        <v>0</v>
      </c>
    </row>
    <row r="6" spans="1:11" x14ac:dyDescent="0.35">
      <c r="A6" s="1" t="s">
        <v>53</v>
      </c>
      <c r="B6" s="1" t="s">
        <v>49</v>
      </c>
      <c r="C6" s="1">
        <v>47</v>
      </c>
      <c r="D6" s="1" t="s">
        <v>22</v>
      </c>
      <c r="E6" s="1" t="s">
        <v>7</v>
      </c>
      <c r="F6" s="1"/>
      <c r="G6" s="1" cm="1">
        <f t="array" ref="G6">COUNT(IFERROR(VALUE(LEFT(_xlfn._xlws.FILTER(Dati[#Data],Dati[#Headers]=Tesserati[[#This Row],[Nome Maglia]]),1)),""))</f>
        <v>1</v>
      </c>
      <c r="H6" s="1" cm="1">
        <f t="array" ref="H6">SUM(IFERROR(VALUE(LEFT(_xlfn._xlws.FILTER(Dati[#Data],Dati[#Headers]=Tesserati[[#This Row],[Nome Maglia]],"0000"),1)),""))</f>
        <v>0</v>
      </c>
      <c r="I6" s="1" cm="1">
        <f t="array" ref="I6">SUM(IFERROR(VALUE(MID(_xlfn._xlws.FILTER(Dati[#Data],Dati[#Headers]=Tesserati[[#This Row],[Nome Maglia]],"0000"),2,1)),""))</f>
        <v>0</v>
      </c>
      <c r="J6" s="1" cm="1">
        <f t="array" ref="J6">SUM(IFERROR(VALUE(MID(_xlfn._xlws.FILTER(Dati[#Data],Dati[#Headers]=Tesserati[[#This Row],[Nome Maglia]],"0000"),3,1)),""))</f>
        <v>0</v>
      </c>
      <c r="K6" s="1" cm="1">
        <f t="array" ref="K6">SUM(IFERROR(VALUE(MID(_xlfn._xlws.FILTER(Dati[#Data],Dati[#Headers]=Tesserati[[#This Row],[Nome Maglia]],"0000"),4,1)),""))</f>
        <v>0</v>
      </c>
    </row>
    <row r="7" spans="1:11" x14ac:dyDescent="0.35">
      <c r="A7" s="1" t="s">
        <v>54</v>
      </c>
      <c r="B7" s="1" t="s">
        <v>55</v>
      </c>
      <c r="C7" s="1">
        <v>6</v>
      </c>
      <c r="D7" s="1" t="s">
        <v>9</v>
      </c>
      <c r="E7" s="1" t="s">
        <v>10</v>
      </c>
      <c r="F7" s="1"/>
      <c r="G7" s="1" cm="1">
        <f t="array" ref="G7">COUNT(IFERROR(VALUE(LEFT(_xlfn._xlws.FILTER(Dati[#Data],Dati[#Headers]=Tesserati[[#This Row],[Nome Maglia]]),1)),""))</f>
        <v>19</v>
      </c>
      <c r="H7" s="1" cm="1">
        <f t="array" ref="H7">SUM(IFERROR(VALUE(LEFT(_xlfn._xlws.FILTER(Dati[#Data],Dati[#Headers]=Tesserati[[#This Row],[Nome Maglia]],"0000"),1)),""))</f>
        <v>1</v>
      </c>
      <c r="I7" s="1" cm="1">
        <f t="array" ref="I7">SUM(IFERROR(VALUE(MID(_xlfn._xlws.FILTER(Dati[#Data],Dati[#Headers]=Tesserati[[#This Row],[Nome Maglia]],"0000"),2,1)),""))</f>
        <v>2</v>
      </c>
      <c r="J7" s="1" cm="1">
        <f t="array" ref="J7">SUM(IFERROR(VALUE(MID(_xlfn._xlws.FILTER(Dati[#Data],Dati[#Headers]=Tesserati[[#This Row],[Nome Maglia]],"0000"),3,1)),""))</f>
        <v>0</v>
      </c>
      <c r="K7" s="1" cm="1">
        <f t="array" ref="K7">SUM(IFERROR(VALUE(MID(_xlfn._xlws.FILTER(Dati[#Data],Dati[#Headers]=Tesserati[[#This Row],[Nome Maglia]],"0000"),4,1)),""))</f>
        <v>0</v>
      </c>
    </row>
    <row r="8" spans="1:11" x14ac:dyDescent="0.35">
      <c r="A8" s="1" t="s">
        <v>56</v>
      </c>
      <c r="B8" s="1" t="s">
        <v>55</v>
      </c>
      <c r="C8" s="1">
        <v>7</v>
      </c>
      <c r="D8" s="1" t="s">
        <v>11</v>
      </c>
      <c r="E8" s="1" t="s">
        <v>114</v>
      </c>
      <c r="F8" s="1" t="s">
        <v>78</v>
      </c>
      <c r="G8" s="1" cm="1">
        <f t="array" ref="G8">COUNT(IFERROR(VALUE(LEFT(_xlfn._xlws.FILTER(Dati[#Data],Dati[#Headers]=Tesserati[[#This Row],[Nome Maglia]]),1)),""))</f>
        <v>21</v>
      </c>
      <c r="H8" s="1" cm="1">
        <f t="array" ref="H8">SUM(IFERROR(VALUE(LEFT(_xlfn._xlws.FILTER(Dati[#Data],Dati[#Headers]=Tesserati[[#This Row],[Nome Maglia]],"0000"),1)),""))</f>
        <v>7</v>
      </c>
      <c r="I8" s="1" cm="1">
        <f t="array" ref="I8">SUM(IFERROR(VALUE(MID(_xlfn._xlws.FILTER(Dati[#Data],Dati[#Headers]=Tesserati[[#This Row],[Nome Maglia]],"0000"),2,1)),""))</f>
        <v>4</v>
      </c>
      <c r="J8" s="1" cm="1">
        <f t="array" ref="J8">SUM(IFERROR(VALUE(MID(_xlfn._xlws.FILTER(Dati[#Data],Dati[#Headers]=Tesserati[[#This Row],[Nome Maglia]],"0000"),3,1)),""))</f>
        <v>0</v>
      </c>
      <c r="K8" s="1" cm="1">
        <f t="array" ref="K8">SUM(IFERROR(VALUE(MID(_xlfn._xlws.FILTER(Dati[#Data],Dati[#Headers]=Tesserati[[#This Row],[Nome Maglia]],"0000"),4,1)),""))</f>
        <v>0</v>
      </c>
    </row>
    <row r="9" spans="1:11" x14ac:dyDescent="0.35">
      <c r="A9" s="1" t="s">
        <v>56</v>
      </c>
      <c r="B9" s="1" t="s">
        <v>50</v>
      </c>
      <c r="C9" s="1">
        <v>44</v>
      </c>
      <c r="D9" s="1" t="s">
        <v>12</v>
      </c>
      <c r="E9" s="1" t="s">
        <v>10</v>
      </c>
      <c r="F9" s="1" t="s">
        <v>79</v>
      </c>
      <c r="G9" s="1" cm="1">
        <f t="array" ref="G9">COUNT(IFERROR(VALUE(LEFT(_xlfn._xlws.FILTER(Dati[#Data],Dati[#Headers]=Tesserati[[#This Row],[Nome Maglia]]),1)),""))</f>
        <v>14</v>
      </c>
      <c r="H9" s="1" cm="1">
        <f t="array" ref="H9">SUM(IFERROR(VALUE(LEFT(_xlfn._xlws.FILTER(Dati[#Data],Dati[#Headers]=Tesserati[[#This Row],[Nome Maglia]],"0000"),1)),""))</f>
        <v>0</v>
      </c>
      <c r="I9" s="1" cm="1">
        <f t="array" ref="I9">SUM(IFERROR(VALUE(MID(_xlfn._xlws.FILTER(Dati[#Data],Dati[#Headers]=Tesserati[[#This Row],[Nome Maglia]],"0000"),2,1)),""))</f>
        <v>0</v>
      </c>
      <c r="J9" s="1" cm="1">
        <f t="array" ref="J9">SUM(IFERROR(VALUE(MID(_xlfn._xlws.FILTER(Dati[#Data],Dati[#Headers]=Tesserati[[#This Row],[Nome Maglia]],"0000"),3,1)),""))</f>
        <v>0</v>
      </c>
      <c r="K9" s="1" cm="1">
        <f t="array" ref="K9">SUM(IFERROR(VALUE(MID(_xlfn._xlws.FILTER(Dati[#Data],Dati[#Headers]=Tesserati[[#This Row],[Nome Maglia]],"0000"),4,1)),""))</f>
        <v>0</v>
      </c>
    </row>
    <row r="10" spans="1:11" x14ac:dyDescent="0.35">
      <c r="A10" s="1" t="s">
        <v>57</v>
      </c>
      <c r="B10" s="1" t="s">
        <v>52</v>
      </c>
      <c r="C10" s="1">
        <v>4</v>
      </c>
      <c r="D10" s="1" t="s">
        <v>13</v>
      </c>
      <c r="E10" s="1" t="s">
        <v>10</v>
      </c>
      <c r="F10" s="1" t="s">
        <v>77</v>
      </c>
      <c r="G10" s="1" cm="1">
        <f t="array" ref="G10">COUNT(IFERROR(VALUE(LEFT(_xlfn._xlws.FILTER(Dati[#Data],Dati[#Headers]=Tesserati[[#This Row],[Nome Maglia]]),1)),""))</f>
        <v>12</v>
      </c>
      <c r="H10" s="1" cm="1">
        <f t="array" ref="H10">SUM(IFERROR(VALUE(LEFT(_xlfn._xlws.FILTER(Dati[#Data],Dati[#Headers]=Tesserati[[#This Row],[Nome Maglia]],"0000"),1)),""))</f>
        <v>3</v>
      </c>
      <c r="I10" s="1" cm="1">
        <f t="array" ref="I10">SUM(IFERROR(VALUE(MID(_xlfn._xlws.FILTER(Dati[#Data],Dati[#Headers]=Tesserati[[#This Row],[Nome Maglia]],"0000"),2,1)),""))</f>
        <v>3</v>
      </c>
      <c r="J10" s="1" cm="1">
        <f t="array" ref="J10">SUM(IFERROR(VALUE(MID(_xlfn._xlws.FILTER(Dati[#Data],Dati[#Headers]=Tesserati[[#This Row],[Nome Maglia]],"0000"),3,1)),""))</f>
        <v>2</v>
      </c>
      <c r="K10" s="1" cm="1">
        <f t="array" ref="K10">SUM(IFERROR(VALUE(MID(_xlfn._xlws.FILTER(Dati[#Data],Dati[#Headers]=Tesserati[[#This Row],[Nome Maglia]],"0000"),4,1)),""))</f>
        <v>1</v>
      </c>
    </row>
    <row r="11" spans="1:11" x14ac:dyDescent="0.35">
      <c r="A11" s="1" t="s">
        <v>57</v>
      </c>
      <c r="B11" s="1" t="s">
        <v>59</v>
      </c>
      <c r="C11" s="1">
        <v>16</v>
      </c>
      <c r="D11" s="1" t="s">
        <v>14</v>
      </c>
      <c r="E11" s="1" t="s">
        <v>117</v>
      </c>
      <c r="F11" s="1"/>
      <c r="G11" s="1" cm="1">
        <f t="array" ref="G11">COUNT(IFERROR(VALUE(LEFT(_xlfn._xlws.FILTER(Dati[#Data],Dati[#Headers]=Tesserati[[#This Row],[Nome Maglia]]),1)),""))</f>
        <v>18</v>
      </c>
      <c r="H11" s="1" cm="1">
        <f t="array" ref="H11">SUM(IFERROR(VALUE(LEFT(_xlfn._xlws.FILTER(Dati[#Data],Dati[#Headers]=Tesserati[[#This Row],[Nome Maglia]],"0000"),1)),""))</f>
        <v>9</v>
      </c>
      <c r="I11" s="1" cm="1">
        <f t="array" ref="I11">SUM(IFERROR(VALUE(MID(_xlfn._xlws.FILTER(Dati[#Data],Dati[#Headers]=Tesserati[[#This Row],[Nome Maglia]],"0000"),2,1)),""))</f>
        <v>15</v>
      </c>
      <c r="J11" s="1" cm="1">
        <f t="array" ref="J11">SUM(IFERROR(VALUE(MID(_xlfn._xlws.FILTER(Dati[#Data],Dati[#Headers]=Tesserati[[#This Row],[Nome Maglia]],"0000"),3,1)),""))</f>
        <v>1</v>
      </c>
      <c r="K11" s="1" cm="1">
        <f t="array" ref="K11">SUM(IFERROR(VALUE(MID(_xlfn._xlws.FILTER(Dati[#Data],Dati[#Headers]=Tesserati[[#This Row],[Nome Maglia]],"0000"),4,1)),""))</f>
        <v>0</v>
      </c>
    </row>
    <row r="12" spans="1:11" x14ac:dyDescent="0.35">
      <c r="A12" s="1" t="s">
        <v>60</v>
      </c>
      <c r="B12" s="1" t="s">
        <v>61</v>
      </c>
      <c r="C12" s="1" t="s">
        <v>83</v>
      </c>
      <c r="D12" s="1" t="s">
        <v>27</v>
      </c>
      <c r="E12" s="1" t="s">
        <v>115</v>
      </c>
      <c r="F12" s="1"/>
      <c r="G12" s="1" cm="1">
        <f t="array" ref="G12">COUNT(IFERROR(VALUE(LEFT(_xlfn._xlws.FILTER(Dati[#Data],Dati[#Headers]=Tesserati[[#This Row],[Nome Maglia]]),1)),""))</f>
        <v>6</v>
      </c>
      <c r="H12" s="1" cm="1">
        <f t="array" ref="H12">SUM(IFERROR(VALUE(LEFT(_xlfn._xlws.FILTER(Dati[#Data],Dati[#Headers]=Tesserati[[#This Row],[Nome Maglia]],"0000"),1)),""))</f>
        <v>16</v>
      </c>
      <c r="I12" s="1" cm="1">
        <f t="array" ref="I12">SUM(IFERROR(VALUE(MID(_xlfn._xlws.FILTER(Dati[#Data],Dati[#Headers]=Tesserati[[#This Row],[Nome Maglia]],"0000"),2,1)),""))</f>
        <v>0</v>
      </c>
      <c r="J12" s="1" cm="1">
        <f t="array" ref="J12">SUM(IFERROR(VALUE(MID(_xlfn._xlws.FILTER(Dati[#Data],Dati[#Headers]=Tesserati[[#This Row],[Nome Maglia]],"0000"),3,1)),""))</f>
        <v>1</v>
      </c>
      <c r="K12" s="1" cm="1">
        <f t="array" ref="K12">SUM(IFERROR(VALUE(MID(_xlfn._xlws.FILTER(Dati[#Data],Dati[#Headers]=Tesserati[[#This Row],[Nome Maglia]],"0000"),4,1)),""))</f>
        <v>0</v>
      </c>
    </row>
    <row r="13" spans="1:11" x14ac:dyDescent="0.35">
      <c r="A13" s="1" t="s">
        <v>62</v>
      </c>
      <c r="B13" s="1" t="s">
        <v>63</v>
      </c>
      <c r="C13" s="1">
        <v>8</v>
      </c>
      <c r="D13" s="1" t="s">
        <v>20</v>
      </c>
      <c r="E13" s="1" t="s">
        <v>115</v>
      </c>
      <c r="F13" s="1"/>
      <c r="G13" s="1" cm="1">
        <f t="array" ref="G13">COUNT(IFERROR(VALUE(LEFT(_xlfn._xlws.FILTER(Dati[#Data],Dati[#Headers]=Tesserati[[#This Row],[Nome Maglia]]),1)),""))</f>
        <v>15</v>
      </c>
      <c r="H13" s="1" cm="1">
        <f t="array" ref="H13">SUM(IFERROR(VALUE(LEFT(_xlfn._xlws.FILTER(Dati[#Data],Dati[#Headers]=Tesserati[[#This Row],[Nome Maglia]],"0000"),1)),""))</f>
        <v>8</v>
      </c>
      <c r="I13" s="1" cm="1">
        <f t="array" ref="I13">SUM(IFERROR(VALUE(MID(_xlfn._xlws.FILTER(Dati[#Data],Dati[#Headers]=Tesserati[[#This Row],[Nome Maglia]],"0000"),2,1)),""))</f>
        <v>3</v>
      </c>
      <c r="J13" s="1" cm="1">
        <f t="array" ref="J13">SUM(IFERROR(VALUE(MID(_xlfn._xlws.FILTER(Dati[#Data],Dati[#Headers]=Tesserati[[#This Row],[Nome Maglia]],"0000"),3,1)),""))</f>
        <v>0</v>
      </c>
      <c r="K13" s="1" cm="1">
        <f t="array" ref="K13">SUM(IFERROR(VALUE(MID(_xlfn._xlws.FILTER(Dati[#Data],Dati[#Headers]=Tesserati[[#This Row],[Nome Maglia]],"0000"),4,1)),""))</f>
        <v>0</v>
      </c>
    </row>
    <row r="14" spans="1:11" x14ac:dyDescent="0.35">
      <c r="A14" s="1" t="s">
        <v>24</v>
      </c>
      <c r="B14" s="1" t="s">
        <v>64</v>
      </c>
      <c r="C14" s="1" t="s">
        <v>83</v>
      </c>
      <c r="D14" s="1" t="s">
        <v>24</v>
      </c>
      <c r="E14" s="1" t="s">
        <v>7</v>
      </c>
      <c r="F14" s="1"/>
      <c r="G14" s="1" cm="1">
        <f t="array" ref="G14">COUNT(IFERROR(VALUE(LEFT(_xlfn._xlws.FILTER(Dati[#Data],Dati[#Headers]=Tesserati[[#This Row],[Nome Maglia]]),1)),""))</f>
        <v>3</v>
      </c>
      <c r="H14" s="1" cm="1">
        <f t="array" ref="H14">SUM(IFERROR(VALUE(LEFT(_xlfn._xlws.FILTER(Dati[#Data],Dati[#Headers]=Tesserati[[#This Row],[Nome Maglia]],"0000"),1)),""))</f>
        <v>0</v>
      </c>
      <c r="I14" s="1" cm="1">
        <f t="array" ref="I14">SUM(IFERROR(VALUE(MID(_xlfn._xlws.FILTER(Dati[#Data],Dati[#Headers]=Tesserati[[#This Row],[Nome Maglia]],"0000"),2,1)),""))</f>
        <v>0</v>
      </c>
      <c r="J14" s="1" cm="1">
        <f t="array" ref="J14">SUM(IFERROR(VALUE(MID(_xlfn._xlws.FILTER(Dati[#Data],Dati[#Headers]=Tesserati[[#This Row],[Nome Maglia]],"0000"),3,1)),""))</f>
        <v>0</v>
      </c>
      <c r="K14" s="1" cm="1">
        <f t="array" ref="K14">SUM(IFERROR(VALUE(MID(_xlfn._xlws.FILTER(Dati[#Data],Dati[#Headers]=Tesserati[[#This Row],[Nome Maglia]],"0000"),4,1)),""))</f>
        <v>0</v>
      </c>
    </row>
    <row r="15" spans="1:11" x14ac:dyDescent="0.35">
      <c r="A15" s="1" t="s">
        <v>66</v>
      </c>
      <c r="B15" s="1" t="s">
        <v>59</v>
      </c>
      <c r="C15" s="1">
        <v>17</v>
      </c>
      <c r="D15" s="1" t="s">
        <v>19</v>
      </c>
      <c r="E15" s="1" t="s">
        <v>114</v>
      </c>
      <c r="F15" s="1"/>
      <c r="G15" s="1" cm="1">
        <f t="array" ref="G15">COUNT(IFERROR(VALUE(LEFT(_xlfn._xlws.FILTER(Dati[#Data],Dati[#Headers]=Tesserati[[#This Row],[Nome Maglia]]),1)),""))</f>
        <v>7</v>
      </c>
      <c r="H15" s="1" cm="1">
        <f t="array" ref="H15">SUM(IFERROR(VALUE(LEFT(_xlfn._xlws.FILTER(Dati[#Data],Dati[#Headers]=Tesserati[[#This Row],[Nome Maglia]],"0000"),1)),""))</f>
        <v>1</v>
      </c>
      <c r="I15" s="1" cm="1">
        <f t="array" ref="I15">SUM(IFERROR(VALUE(MID(_xlfn._xlws.FILTER(Dati[#Data],Dati[#Headers]=Tesserati[[#This Row],[Nome Maglia]],"0000"),2,1)),""))</f>
        <v>0</v>
      </c>
      <c r="J15" s="1" cm="1">
        <f t="array" ref="J15">SUM(IFERROR(VALUE(MID(_xlfn._xlws.FILTER(Dati[#Data],Dati[#Headers]=Tesserati[[#This Row],[Nome Maglia]],"0000"),3,1)),""))</f>
        <v>0</v>
      </c>
      <c r="K15" s="1" cm="1">
        <f t="array" ref="K15">SUM(IFERROR(VALUE(MID(_xlfn._xlws.FILTER(Dati[#Data],Dati[#Headers]=Tesserati[[#This Row],[Nome Maglia]],"0000"),4,1)),""))</f>
        <v>0</v>
      </c>
    </row>
    <row r="16" spans="1:11" x14ac:dyDescent="0.35">
      <c r="A16" s="1" t="s">
        <v>15</v>
      </c>
      <c r="B16" s="1" t="s">
        <v>67</v>
      </c>
      <c r="C16" s="1">
        <v>9</v>
      </c>
      <c r="D16" s="1" t="s">
        <v>15</v>
      </c>
      <c r="E16" s="1" t="s">
        <v>116</v>
      </c>
      <c r="F16" s="1"/>
      <c r="G16" s="1" cm="1">
        <f t="array" ref="G16">COUNT(IFERROR(VALUE(LEFT(_xlfn._xlws.FILTER(Dati[#Data],Dati[#Headers]=Tesserati[[#This Row],[Nome Maglia]]),1)),""))</f>
        <v>21</v>
      </c>
      <c r="H16" s="1" cm="1">
        <f t="array" ref="H16">SUM(IFERROR(VALUE(LEFT(_xlfn._xlws.FILTER(Dati[#Data],Dati[#Headers]=Tesserati[[#This Row],[Nome Maglia]],"0000"),1)),""))</f>
        <v>17</v>
      </c>
      <c r="I16" s="1" cm="1">
        <f t="array" ref="I16">SUM(IFERROR(VALUE(MID(_xlfn._xlws.FILTER(Dati[#Data],Dati[#Headers]=Tesserati[[#This Row],[Nome Maglia]],"0000"),2,1)),""))</f>
        <v>2</v>
      </c>
      <c r="J16" s="1" cm="1">
        <f t="array" ref="J16">SUM(IFERROR(VALUE(MID(_xlfn._xlws.FILTER(Dati[#Data],Dati[#Headers]=Tesserati[[#This Row],[Nome Maglia]],"0000"),3,1)),""))</f>
        <v>0</v>
      </c>
      <c r="K16" s="1" cm="1">
        <f t="array" ref="K16">SUM(IFERROR(VALUE(MID(_xlfn._xlws.FILTER(Dati[#Data],Dati[#Headers]=Tesserati[[#This Row],[Nome Maglia]],"0000"),4,1)),""))</f>
        <v>0</v>
      </c>
    </row>
    <row r="17" spans="1:11" x14ac:dyDescent="0.35">
      <c r="A17" s="1" t="s">
        <v>25</v>
      </c>
      <c r="B17" s="1" t="s">
        <v>72</v>
      </c>
      <c r="C17" s="1">
        <v>1</v>
      </c>
      <c r="D17" s="1" t="s">
        <v>25</v>
      </c>
      <c r="E17" s="1" t="s">
        <v>7</v>
      </c>
      <c r="F17" s="1"/>
      <c r="G17" s="1" cm="1">
        <f t="array" ref="G17">COUNT(IFERROR(VALUE(LEFT(_xlfn._xlws.FILTER(Dati[#Data],Dati[#Headers]=Tesserati[[#This Row],[Nome Maglia]]),1)),""))</f>
        <v>6</v>
      </c>
      <c r="H17" s="1" cm="1">
        <f t="array" ref="H17">SUM(IFERROR(VALUE(LEFT(_xlfn._xlws.FILTER(Dati[#Data],Dati[#Headers]=Tesserati[[#This Row],[Nome Maglia]],"0000"),1)),""))</f>
        <v>0</v>
      </c>
      <c r="I17" s="1" cm="1">
        <f t="array" ref="I17">SUM(IFERROR(VALUE(MID(_xlfn._xlws.FILTER(Dati[#Data],Dati[#Headers]=Tesserati[[#This Row],[Nome Maglia]],"0000"),2,1)),""))</f>
        <v>0</v>
      </c>
      <c r="J17" s="1" cm="1">
        <f t="array" ref="J17">SUM(IFERROR(VALUE(MID(_xlfn._xlws.FILTER(Dati[#Data],Dati[#Headers]=Tesserati[[#This Row],[Nome Maglia]],"0000"),3,1)),""))</f>
        <v>0</v>
      </c>
      <c r="K17" s="1" cm="1">
        <f t="array" ref="K17">SUM(IFERROR(VALUE(MID(_xlfn._xlws.FILTER(Dati[#Data],Dati[#Headers]=Tesserati[[#This Row],[Nome Maglia]],"0000"),4,1)),""))</f>
        <v>0</v>
      </c>
    </row>
    <row r="18" spans="1:11" x14ac:dyDescent="0.35">
      <c r="A18" s="1" t="s">
        <v>68</v>
      </c>
      <c r="B18" s="1" t="s">
        <v>59</v>
      </c>
      <c r="C18" s="1">
        <v>69</v>
      </c>
      <c r="D18" s="1" t="s">
        <v>23</v>
      </c>
      <c r="E18" s="1" t="s">
        <v>114</v>
      </c>
      <c r="F18" s="1"/>
      <c r="G18" s="1" cm="1">
        <f t="array" ref="G18">COUNT(IFERROR(VALUE(LEFT(_xlfn._xlws.FILTER(Dati[#Data],Dati[#Headers]=Tesserati[[#This Row],[Nome Maglia]]),1)),""))</f>
        <v>4</v>
      </c>
      <c r="H18" s="1" cm="1">
        <f t="array" ref="H18">SUM(IFERROR(VALUE(LEFT(_xlfn._xlws.FILTER(Dati[#Data],Dati[#Headers]=Tesserati[[#This Row],[Nome Maglia]],"0000"),1)),""))</f>
        <v>0</v>
      </c>
      <c r="I18" s="1" cm="1">
        <f t="array" ref="I18">SUM(IFERROR(VALUE(MID(_xlfn._xlws.FILTER(Dati[#Data],Dati[#Headers]=Tesserati[[#This Row],[Nome Maglia]],"0000"),2,1)),""))</f>
        <v>0</v>
      </c>
      <c r="J18" s="1" cm="1">
        <f t="array" ref="J18">SUM(IFERROR(VALUE(MID(_xlfn._xlws.FILTER(Dati[#Data],Dati[#Headers]=Tesserati[[#This Row],[Nome Maglia]],"0000"),3,1)),""))</f>
        <v>0</v>
      </c>
      <c r="K18" s="1" cm="1">
        <f t="array" ref="K18">SUM(IFERROR(VALUE(MID(_xlfn._xlws.FILTER(Dati[#Data],Dati[#Headers]=Tesserati[[#This Row],[Nome Maglia]],"0000"),4,1)),""))</f>
        <v>0</v>
      </c>
    </row>
    <row r="19" spans="1:11" x14ac:dyDescent="0.35">
      <c r="A19" s="1" t="s">
        <v>69</v>
      </c>
      <c r="B19" s="1" t="s">
        <v>70</v>
      </c>
      <c r="C19" s="1">
        <v>33</v>
      </c>
      <c r="D19" s="1" t="s">
        <v>16</v>
      </c>
      <c r="E19" s="1" t="s">
        <v>114</v>
      </c>
      <c r="F19" s="1"/>
      <c r="G19" s="1" cm="1">
        <f t="array" ref="G19">COUNT(IFERROR(VALUE(LEFT(_xlfn._xlws.FILTER(Dati[#Data],Dati[#Headers]=Tesserati[[#This Row],[Nome Maglia]]),1)),""))</f>
        <v>19</v>
      </c>
      <c r="H19" s="1" cm="1">
        <f t="array" ref="H19">SUM(IFERROR(VALUE(LEFT(_xlfn._xlws.FILTER(Dati[#Data],Dati[#Headers]=Tesserati[[#This Row],[Nome Maglia]],"0000"),1)),""))</f>
        <v>4</v>
      </c>
      <c r="I19" s="1" cm="1">
        <f t="array" ref="I19">SUM(IFERROR(VALUE(MID(_xlfn._xlws.FILTER(Dati[#Data],Dati[#Headers]=Tesserati[[#This Row],[Nome Maglia]],"0000"),2,1)),""))</f>
        <v>1</v>
      </c>
      <c r="J19" s="1" cm="1">
        <f t="array" ref="J19">SUM(IFERROR(VALUE(MID(_xlfn._xlws.FILTER(Dati[#Data],Dati[#Headers]=Tesserati[[#This Row],[Nome Maglia]],"0000"),3,1)),""))</f>
        <v>1</v>
      </c>
      <c r="K19" s="1" cm="1">
        <f t="array" ref="K19">SUM(IFERROR(VALUE(MID(_xlfn._xlws.FILTER(Dati[#Data],Dati[#Headers]=Tesserati[[#This Row],[Nome Maglia]],"0000"),4,1)),""))</f>
        <v>0</v>
      </c>
    </row>
    <row r="20" spans="1:11" x14ac:dyDescent="0.35">
      <c r="A20" s="1" t="s">
        <v>71</v>
      </c>
      <c r="B20" s="1" t="s">
        <v>61</v>
      </c>
      <c r="C20" s="1">
        <v>11</v>
      </c>
      <c r="D20" s="1" t="s">
        <v>17</v>
      </c>
      <c r="E20" s="1" t="s">
        <v>18</v>
      </c>
      <c r="F20" s="1"/>
      <c r="G20" s="1" cm="1">
        <f t="array" ref="G20">COUNT(IFERROR(VALUE(LEFT(_xlfn._xlws.FILTER(Dati[#Data],Dati[#Headers]=Tesserati[[#This Row],[Nome Maglia]]),1)),""))</f>
        <v>18</v>
      </c>
      <c r="H20" s="1" cm="1">
        <f t="array" ref="H20">SUM(IFERROR(VALUE(LEFT(_xlfn._xlws.FILTER(Dati[#Data],Dati[#Headers]=Tesserati[[#This Row],[Nome Maglia]],"0000"),1)),""))</f>
        <v>11</v>
      </c>
      <c r="I20" s="1" cm="1">
        <f t="array" ref="I20">SUM(IFERROR(VALUE(MID(_xlfn._xlws.FILTER(Dati[#Data],Dati[#Headers]=Tesserati[[#This Row],[Nome Maglia]],"0000"),2,1)),""))</f>
        <v>11</v>
      </c>
      <c r="J20" s="1" cm="1">
        <f t="array" ref="J20">SUM(IFERROR(VALUE(MID(_xlfn._xlws.FILTER(Dati[#Data],Dati[#Headers]=Tesserati[[#This Row],[Nome Maglia]],"0000"),3,1)),""))</f>
        <v>1</v>
      </c>
      <c r="K20" s="1" cm="1">
        <f t="array" ref="K20">SUM(IFERROR(VALUE(MID(_xlfn._xlws.FILTER(Dati[#Data],Dati[#Headers]=Tesserati[[#This Row],[Nome Maglia]],"0000"),4,1)),""))</f>
        <v>0</v>
      </c>
    </row>
    <row r="21" spans="1:11" x14ac:dyDescent="0.35">
      <c r="A21" s="1" t="s">
        <v>65</v>
      </c>
      <c r="B21" s="1" t="s">
        <v>52</v>
      </c>
      <c r="C21" s="1" t="s">
        <v>83</v>
      </c>
      <c r="D21" s="1" t="s">
        <v>73</v>
      </c>
      <c r="E21" s="1"/>
      <c r="F21" s="1" t="s">
        <v>80</v>
      </c>
      <c r="G21" s="1" cm="1">
        <f t="array" ref="G21">COUNT(IFERROR(VALUE(LEFT(_xlfn._xlws.FILTER(Dati[#Data],Dati[#Headers]=Tesserati[[#This Row],[Nome Maglia]]),1)),""))</f>
        <v>0</v>
      </c>
      <c r="H21" s="1" cm="1">
        <f t="array" ref="H21">SUM(IFERROR(VALUE(LEFT(_xlfn._xlws.FILTER(Dati[#Data],Dati[#Headers]=Tesserati[[#This Row],[Nome Maglia]],"0000"),1)),""))</f>
        <v>0</v>
      </c>
      <c r="I21" s="1" cm="1">
        <f t="array" ref="I21">SUM(IFERROR(VALUE(MID(_xlfn._xlws.FILTER(Dati[#Data],Dati[#Headers]=Tesserati[[#This Row],[Nome Maglia]],"0000"),2,1)),""))</f>
        <v>0</v>
      </c>
      <c r="J21" s="1" cm="1">
        <f t="array" ref="J21">SUM(IFERROR(VALUE(MID(_xlfn._xlws.FILTER(Dati[#Data],Dati[#Headers]=Tesserati[[#This Row],[Nome Maglia]],"0000"),3,1)),""))</f>
        <v>0</v>
      </c>
      <c r="K21" s="1" cm="1">
        <f t="array" ref="K21">SUM(IFERROR(VALUE(MID(_xlfn._xlws.FILTER(Dati[#Data],Dati[#Headers]=Tesserati[[#This Row],[Nome Maglia]],"0000"),4,1)),""))</f>
        <v>0</v>
      </c>
    </row>
    <row r="22" spans="1:11" x14ac:dyDescent="0.35">
      <c r="A22" s="1" t="s">
        <v>57</v>
      </c>
      <c r="B22" s="1" t="s">
        <v>58</v>
      </c>
      <c r="C22" s="1" t="s">
        <v>83</v>
      </c>
      <c r="D22" s="1" t="s">
        <v>57</v>
      </c>
      <c r="E22" s="1"/>
      <c r="F22" s="1" t="s">
        <v>80</v>
      </c>
      <c r="G22" s="1" cm="1">
        <f t="array" ref="G22">COUNT(IFERROR(VALUE(LEFT(_xlfn._xlws.FILTER(Dati[#Data],Dati[#Headers]=Tesserati[[#This Row],[Nome Maglia]]),1)),""))</f>
        <v>0</v>
      </c>
      <c r="H22" s="1" cm="1">
        <f t="array" ref="H22">SUM(IFERROR(VALUE(LEFT(_xlfn._xlws.FILTER(Dati[#Data],Dati[#Headers]=Tesserati[[#This Row],[Nome Maglia]],"0000"),1)),""))</f>
        <v>0</v>
      </c>
      <c r="I22" s="1" cm="1">
        <f t="array" ref="I22">SUM(IFERROR(VALUE(MID(_xlfn._xlws.FILTER(Dati[#Data],Dati[#Headers]=Tesserati[[#This Row],[Nome Maglia]],"0000"),2,1)),""))</f>
        <v>0</v>
      </c>
      <c r="J22" s="1" cm="1">
        <f t="array" ref="J22">SUM(IFERROR(VALUE(MID(_xlfn._xlws.FILTER(Dati[#Data],Dati[#Headers]=Tesserati[[#This Row],[Nome Maglia]],"0000"),3,1)),""))</f>
        <v>0</v>
      </c>
      <c r="K22" s="1" cm="1">
        <f t="array" ref="K22">SUM(IFERROR(VALUE(MID(_xlfn._xlws.FILTER(Dati[#Data],Dati[#Headers]=Tesserati[[#This Row],[Nome Maglia]],"0000"),4,1)),""))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AF0B0BCC99C64BAEE3636705749181" ma:contentTypeVersion="16" ma:contentTypeDescription="Create a new document." ma:contentTypeScope="" ma:versionID="32d04acbe3f341c5025d2f4fd86bdc53">
  <xsd:schema xmlns:xsd="http://www.w3.org/2001/XMLSchema" xmlns:xs="http://www.w3.org/2001/XMLSchema" xmlns:p="http://schemas.microsoft.com/office/2006/metadata/properties" xmlns:ns3="10dcc929-1977-4edb-84a8-194d4ce81613" xmlns:ns4="6149ad73-68cb-484b-9a43-7dbe8c89501a" targetNamespace="http://schemas.microsoft.com/office/2006/metadata/properties" ma:root="true" ma:fieldsID="08d0f014e592dc1f6460279a2556cd73" ns3:_="" ns4:_="">
    <xsd:import namespace="10dcc929-1977-4edb-84a8-194d4ce81613"/>
    <xsd:import namespace="6149ad73-68cb-484b-9a43-7dbe8c8950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cc929-1977-4edb-84a8-194d4ce816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9ad73-68cb-484b-9a43-7dbe8c89501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dcc929-1977-4edb-84a8-194d4ce81613" xsi:nil="true"/>
  </documentManagement>
</p:properties>
</file>

<file path=customXml/itemProps1.xml><?xml version="1.0" encoding="utf-8"?>
<ds:datastoreItem xmlns:ds="http://schemas.openxmlformats.org/officeDocument/2006/customXml" ds:itemID="{AF95D0BE-507C-4AA2-8BB1-13DFAFDA44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3A0B5D-971B-472E-A7BF-B571B4B247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dcc929-1977-4edb-84a8-194d4ce81613"/>
    <ds:schemaRef ds:uri="6149ad73-68cb-484b-9a43-7dbe8c8950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7CB005-FEEA-4CD0-A108-671AA723C78E}">
  <ds:schemaRefs>
    <ds:schemaRef ds:uri="http://purl.org/dc/elements/1.1/"/>
    <ds:schemaRef ds:uri="http://purl.org/dc/terms/"/>
    <ds:schemaRef ds:uri="http://purl.org/dc/dcmitype/"/>
    <ds:schemaRef ds:uri="10dcc929-1977-4edb-84a8-194d4ce81613"/>
    <ds:schemaRef ds:uri="6149ad73-68cb-484b-9a43-7dbe8c89501a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Dati</vt:lpstr>
      <vt:lpstr>Fase1</vt:lpstr>
      <vt:lpstr>Fase2</vt:lpstr>
      <vt:lpstr>Tesserati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Riccardo Cudia - riccardo.cudia@studio.unibo.it</dc:creator>
  <cp:keywords/>
  <dc:description/>
  <cp:lastModifiedBy>Riccardo Cudia - riccardo.cudia@studio.unibo.it</cp:lastModifiedBy>
  <cp:revision/>
  <dcterms:created xsi:type="dcterms:W3CDTF">2025-03-22T18:34:28Z</dcterms:created>
  <dcterms:modified xsi:type="dcterms:W3CDTF">2026-05-29T09:17:36Z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0x010100B7AF0B0BCC99C64BAEE3636705749181</vt:lpwstr>
  </property>
</Properties>
</file>